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tarawarin.ar\Downloads\"/>
    </mc:Choice>
  </mc:AlternateContent>
  <xr:revisionPtr revIDLastSave="0" documentId="13_ncr:1_{089573D7-8842-439C-B424-25AD18D36855}" xr6:coauthVersionLast="47" xr6:coauthVersionMax="47" xr10:uidLastSave="{00000000-0000-0000-0000-000000000000}"/>
  <bookViews>
    <workbookView xWindow="-108" yWindow="-108" windowWidth="23256" windowHeight="13896" xr2:uid="{B4277D67-4F24-4EDD-9E17-7D265DACE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0" i="1" l="1"/>
  <c r="K11" i="1"/>
  <c r="K12" i="1"/>
  <c r="K13" i="1"/>
  <c r="K14" i="1"/>
  <c r="K15" i="1"/>
  <c r="K16" i="1"/>
  <c r="K17" i="1"/>
  <c r="K9" i="1"/>
  <c r="J10" i="1"/>
  <c r="J11" i="1"/>
  <c r="J12" i="1"/>
  <c r="J13" i="1"/>
  <c r="J14" i="1"/>
  <c r="J15" i="1"/>
  <c r="J16" i="1"/>
  <c r="J17" i="1"/>
  <c r="J9" i="1"/>
  <c r="B20" i="1"/>
  <c r="B21" i="1" s="1"/>
  <c r="C21" i="1"/>
  <c r="C20" i="1"/>
  <c r="C16" i="1"/>
  <c r="C15" i="1"/>
  <c r="C14" i="1"/>
  <c r="C18" i="1"/>
  <c r="C17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<sst xmlns="http://schemas.openxmlformats.org/spreadsheetml/2006/main" count="21" uniqueCount="20">
  <si>
    <t>ตารางสรุปเสริมรถรับส่งพนักงาน NSL P7 - P8 (16-31 ตุลาคม 2569)</t>
  </si>
  <si>
    <t>ในระบบ</t>
  </si>
  <si>
    <t>วัน/เดือน/ปี</t>
  </si>
  <si>
    <t>จำนวนรถเสริมตามบิล / วัน</t>
  </si>
  <si>
    <t>ค่าใช้จ่ายต่อวัน</t>
  </si>
  <si>
    <t>หมายเหตุ</t>
  </si>
  <si>
    <t>รับ (คน)</t>
  </si>
  <si>
    <t>ส่ง (คน)</t>
  </si>
  <si>
    <t>รถบริษัท</t>
  </si>
  <si>
    <t>รถเสริม</t>
  </si>
  <si>
    <t>ค่าใช้จ่ายในระบบ</t>
  </si>
  <si>
    <t>วันอาทิตย์</t>
  </si>
  <si>
    <t xml:space="preserve"> </t>
  </si>
  <si>
    <t>รวม</t>
  </si>
  <si>
    <t>หลังประชุมผู้กรอก</t>
  </si>
  <si>
    <t>เริ่มใช้ระบบออนไลน์</t>
  </si>
  <si>
    <t>เพิ่มรอบรับ - ส่ง พนักงานใหม่ 2 เที่ยว</t>
  </si>
  <si>
    <t>จำนวนรอบรถเสริมที่เกิน</t>
  </si>
  <si>
    <t>จำนวนเที่ยวที่เกิน</t>
  </si>
  <si>
    <t>เฉลี่ยต่อรอบบิล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</si>
</sst>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7"/>
      <color rgb="FF4ADE80"/>
      <name val="Arial"/>
      <family val="2"/>
    </font>
    <font>
      <b/>
      <sz val="7"/>
      <color rgb="FFF87171"/>
      <name val="Arial"/>
      <family val="2"/>
    </font>
    <font>
      <sz val="7"/>
      <color rgb="FFB45614"/>
      <name val="Arial"/>
      <family val="2"/>
    </font>
    <font>
      <sz val="7"/>
      <color rgb="FFF87171"/>
      <name val="Arial"/>
      <family val="2"/>
    </font>
    <font>
      <sz val="7"/>
      <color rgb="FFFBBF24"/>
      <name val="Arial"/>
      <family val="2"/>
    </font>
    <font>
      <sz val="9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 indent="1"/>
    </xf>
    <xf numFmtId="0" fontId="5" fillId="0" borderId="1" xfId="0" applyFont="1" applyBorder="1" applyAlignment="1">
      <alignment horizontal="right" vertical="center" wrapText="1" indent="1"/>
    </xf>
    <xf numFmtId="0" fontId="6" fillId="0" borderId="1" xfId="0" applyFont="1" applyBorder="1" applyAlignment="1">
      <alignment horizontal="right" vertical="center" wrapText="1" indent="1"/>
    </xf>
    <xf numFmtId="0" fontId="7" fillId="0" borderId="1" xfId="0" applyFont="1" applyBorder="1" applyAlignment="1">
      <alignment horizontal="right" vertical="center" wrapText="1" indent="1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0" borderId="0" xfId="1" applyNumberFormat="1" applyFont="1" applyAlignment="1">
      <alignment vertical="center" wrapText="1"/>
    </xf>
    <xf numFmtId="164" fontId="3" fillId="0" borderId="0" xfId="1" applyNumberFormat="1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" fontId="8" fillId="0" borderId="1" xfId="0" applyNumberFormat="1" applyFont="1" applyBorder="1" applyAlignment="1">
      <alignment horizontal="right" vertical="center" wrapText="1" indent="1"/>
    </xf>
    <xf numFmtId="164" fontId="2" fillId="0" borderId="1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2F23-61EE-4CA9-818D-C1D93329690B}">
  <dimension ref="A1:K23"/>
  <sheetViews>
    <sheetView tabSelected="1" workbookViewId="0">
      <selection activeCell="A21" sqref="A21:K21"/>
    </sheetView>
  </sheetViews>
  <sheetFormatPr defaultRowHeight="14.4" x14ac:dyDescent="0.3"/>
  <cols>
    <col min="1" max="1" width="19.44140625" customWidth="1"/>
    <col min="2" max="2" width="16.6640625" customWidth="1"/>
    <col min="3" max="3" width="22.88671875" customWidth="1"/>
    <col min="4" max="4" width="22.109375" customWidth="1"/>
    <col min="9" max="9" width="13.6640625" customWidth="1"/>
    <col min="11" max="11" width="12.21875" customWidth="1"/>
  </cols>
  <sheetData>
    <row r="1" spans="1:11" ht="15.6" x14ac:dyDescent="0.3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</row>
    <row r="2" spans="1:11" ht="62.4" x14ac:dyDescent="0.3">
      <c r="A2" s="3" t="s">
        <v>2</v>
      </c>
      <c r="B2" s="4" t="s">
        <v>3</v>
      </c>
      <c r="C2" s="5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4" t="s">
        <v>10</v>
      </c>
      <c r="J2" s="20" t="s">
        <v>17</v>
      </c>
      <c r="K2" s="20" t="s">
        <v>18</v>
      </c>
    </row>
    <row r="3" spans="1:11" ht="15.6" x14ac:dyDescent="0.3">
      <c r="A3" s="6">
        <v>46311</v>
      </c>
      <c r="B3" s="7">
        <v>61</v>
      </c>
      <c r="C3" s="8">
        <f>B3*320</f>
        <v>19520</v>
      </c>
      <c r="D3" s="9"/>
      <c r="E3" s="3"/>
      <c r="F3" s="3"/>
      <c r="G3" s="3"/>
      <c r="H3" s="3"/>
      <c r="I3" s="3"/>
      <c r="J3" s="21"/>
      <c r="K3" s="21"/>
    </row>
    <row r="4" spans="1:11" ht="15.6" x14ac:dyDescent="0.3">
      <c r="A4" s="6">
        <v>46312</v>
      </c>
      <c r="B4" s="7">
        <v>51</v>
      </c>
      <c r="C4" s="8">
        <f t="shared" ref="C4:C18" si="0">B4*320</f>
        <v>16320</v>
      </c>
      <c r="D4" s="9"/>
      <c r="E4" s="3"/>
      <c r="F4" s="3"/>
      <c r="G4" s="3"/>
      <c r="H4" s="3"/>
      <c r="I4" s="3"/>
      <c r="J4" s="21"/>
      <c r="K4" s="21"/>
    </row>
    <row r="5" spans="1:11" ht="15.6" x14ac:dyDescent="0.3">
      <c r="A5" s="6">
        <v>46313</v>
      </c>
      <c r="B5" s="7">
        <v>27</v>
      </c>
      <c r="C5" s="8">
        <f t="shared" si="0"/>
        <v>8640</v>
      </c>
      <c r="D5" s="9" t="s">
        <v>11</v>
      </c>
      <c r="E5" s="3"/>
      <c r="F5" s="3"/>
      <c r="G5" s="3"/>
      <c r="H5" s="3"/>
      <c r="I5" s="3"/>
      <c r="J5" s="21"/>
      <c r="K5" s="21"/>
    </row>
    <row r="6" spans="1:11" ht="15.6" x14ac:dyDescent="0.3">
      <c r="A6" s="6">
        <v>46314</v>
      </c>
      <c r="B6" s="7">
        <v>56</v>
      </c>
      <c r="C6" s="8">
        <f t="shared" si="0"/>
        <v>17920</v>
      </c>
      <c r="D6" s="9"/>
      <c r="E6" s="3"/>
      <c r="F6" s="3" t="s">
        <v>12</v>
      </c>
      <c r="G6" s="3"/>
      <c r="H6" s="3"/>
      <c r="I6" s="3"/>
      <c r="J6" s="21"/>
      <c r="K6" s="21"/>
    </row>
    <row r="7" spans="1:11" ht="15.6" x14ac:dyDescent="0.3">
      <c r="A7" s="6">
        <v>46315</v>
      </c>
      <c r="B7" s="7">
        <v>60</v>
      </c>
      <c r="C7" s="8">
        <f t="shared" si="0"/>
        <v>19200</v>
      </c>
      <c r="D7" s="9"/>
      <c r="E7" s="3"/>
      <c r="F7" s="3"/>
      <c r="G7" s="3"/>
      <c r="H7" s="3"/>
      <c r="I7" s="3"/>
      <c r="J7" s="21"/>
      <c r="K7" s="21"/>
    </row>
    <row r="8" spans="1:11" ht="15.6" x14ac:dyDescent="0.3">
      <c r="A8" s="6">
        <v>46316</v>
      </c>
      <c r="B8" s="7">
        <v>64</v>
      </c>
      <c r="C8" s="8">
        <f t="shared" si="0"/>
        <v>20480</v>
      </c>
      <c r="D8" s="9" t="s">
        <v>15</v>
      </c>
      <c r="E8" s="3"/>
      <c r="F8" s="3"/>
      <c r="G8" s="3"/>
      <c r="H8" s="3"/>
      <c r="I8" s="3"/>
      <c r="J8" s="21"/>
      <c r="K8" s="21"/>
    </row>
    <row r="9" spans="1:11" ht="15.6" x14ac:dyDescent="0.3">
      <c r="A9" s="6">
        <v>46317</v>
      </c>
      <c r="B9" s="7">
        <v>58</v>
      </c>
      <c r="C9" s="8">
        <f t="shared" si="0"/>
        <v>18560</v>
      </c>
      <c r="D9" s="9" t="s">
        <v>14</v>
      </c>
      <c r="E9" s="10">
        <v>2071</v>
      </c>
      <c r="F9" s="11">
        <v>2027</v>
      </c>
      <c r="G9" s="12">
        <v>32</v>
      </c>
      <c r="H9" s="13">
        <v>55</v>
      </c>
      <c r="I9" s="23">
        <v>17600</v>
      </c>
      <c r="J9" s="21">
        <f>SUM(B9-H9)</f>
        <v>3</v>
      </c>
      <c r="K9" s="22">
        <f>SUM(C9-I9)</f>
        <v>960</v>
      </c>
    </row>
    <row r="10" spans="1:11" ht="15.6" x14ac:dyDescent="0.3">
      <c r="A10" s="6">
        <v>46318</v>
      </c>
      <c r="B10" s="7">
        <v>54</v>
      </c>
      <c r="C10" s="8">
        <f t="shared" si="0"/>
        <v>17280</v>
      </c>
      <c r="D10" s="14"/>
      <c r="E10" s="10">
        <v>1935</v>
      </c>
      <c r="F10" s="11">
        <v>1919</v>
      </c>
      <c r="G10" s="12">
        <v>35</v>
      </c>
      <c r="H10" s="13">
        <v>50</v>
      </c>
      <c r="I10" s="23">
        <v>16000</v>
      </c>
      <c r="J10" s="21">
        <f t="shared" ref="J10:J17" si="1">SUM(B10-H10)</f>
        <v>4</v>
      </c>
      <c r="K10" s="22">
        <f t="shared" ref="K10:K17" si="2">SUM(C10-I10)</f>
        <v>1280</v>
      </c>
    </row>
    <row r="11" spans="1:11" ht="15.6" x14ac:dyDescent="0.3">
      <c r="A11" s="6">
        <v>46319</v>
      </c>
      <c r="B11" s="7">
        <v>47</v>
      </c>
      <c r="C11" s="8">
        <f t="shared" si="0"/>
        <v>15040</v>
      </c>
      <c r="D11" s="9"/>
      <c r="E11" s="10">
        <v>2053</v>
      </c>
      <c r="F11" s="11">
        <v>1856</v>
      </c>
      <c r="G11" s="12">
        <v>38</v>
      </c>
      <c r="H11" s="13">
        <v>46</v>
      </c>
      <c r="I11" s="23">
        <v>14720</v>
      </c>
      <c r="J11" s="21">
        <f t="shared" si="1"/>
        <v>1</v>
      </c>
      <c r="K11" s="22">
        <f t="shared" si="2"/>
        <v>320</v>
      </c>
    </row>
    <row r="12" spans="1:11" ht="15.6" x14ac:dyDescent="0.3">
      <c r="A12" s="6">
        <v>46320</v>
      </c>
      <c r="B12" s="7">
        <v>11</v>
      </c>
      <c r="C12" s="8">
        <f t="shared" si="0"/>
        <v>3520</v>
      </c>
      <c r="D12" s="9" t="s">
        <v>11</v>
      </c>
      <c r="E12" s="10">
        <v>127</v>
      </c>
      <c r="F12" s="11">
        <v>926</v>
      </c>
      <c r="G12" s="12">
        <v>23</v>
      </c>
      <c r="H12" s="13">
        <v>11</v>
      </c>
      <c r="I12" s="23">
        <v>3520</v>
      </c>
      <c r="J12" s="21">
        <f t="shared" si="1"/>
        <v>0</v>
      </c>
      <c r="K12" s="22">
        <f t="shared" si="2"/>
        <v>0</v>
      </c>
    </row>
    <row r="13" spans="1:11" ht="31.2" x14ac:dyDescent="0.3">
      <c r="A13" s="6">
        <v>46321</v>
      </c>
      <c r="B13" s="7">
        <v>52</v>
      </c>
      <c r="C13" s="8">
        <f t="shared" si="0"/>
        <v>16640</v>
      </c>
      <c r="D13" s="19" t="s">
        <v>16</v>
      </c>
      <c r="E13" s="10">
        <v>2143</v>
      </c>
      <c r="F13" s="11">
        <v>1210</v>
      </c>
      <c r="G13" s="12">
        <v>20</v>
      </c>
      <c r="H13" s="13">
        <v>50</v>
      </c>
      <c r="I13" s="23">
        <v>16000</v>
      </c>
      <c r="J13" s="21">
        <f t="shared" si="1"/>
        <v>2</v>
      </c>
      <c r="K13" s="22">
        <f t="shared" si="2"/>
        <v>640</v>
      </c>
    </row>
    <row r="14" spans="1:11" ht="15.6" x14ac:dyDescent="0.3">
      <c r="A14" s="6">
        <v>46322</v>
      </c>
      <c r="B14" s="7">
        <v>53</v>
      </c>
      <c r="C14" s="8">
        <f t="shared" si="0"/>
        <v>16960</v>
      </c>
      <c r="D14" s="9"/>
      <c r="E14" s="10">
        <v>2232</v>
      </c>
      <c r="F14" s="11">
        <v>2148</v>
      </c>
      <c r="G14" s="12">
        <v>40</v>
      </c>
      <c r="H14" s="13">
        <v>50</v>
      </c>
      <c r="I14" s="23">
        <v>16000</v>
      </c>
      <c r="J14" s="21">
        <f t="shared" si="1"/>
        <v>3</v>
      </c>
      <c r="K14" s="22">
        <f t="shared" si="2"/>
        <v>960</v>
      </c>
    </row>
    <row r="15" spans="1:11" ht="15.6" x14ac:dyDescent="0.3">
      <c r="A15" s="6">
        <v>46323</v>
      </c>
      <c r="B15" s="7">
        <v>54</v>
      </c>
      <c r="C15" s="8">
        <f t="shared" si="0"/>
        <v>17280</v>
      </c>
      <c r="D15" s="9"/>
      <c r="E15" s="10">
        <v>2212</v>
      </c>
      <c r="F15" s="11">
        <v>2238</v>
      </c>
      <c r="G15" s="12">
        <v>40</v>
      </c>
      <c r="H15" s="13">
        <v>54</v>
      </c>
      <c r="I15" s="23">
        <v>17280</v>
      </c>
      <c r="J15" s="21">
        <f t="shared" si="1"/>
        <v>0</v>
      </c>
      <c r="K15" s="22">
        <f t="shared" si="2"/>
        <v>0</v>
      </c>
    </row>
    <row r="16" spans="1:11" ht="15.6" x14ac:dyDescent="0.3">
      <c r="A16" s="6">
        <v>46324</v>
      </c>
      <c r="B16" s="7">
        <v>47</v>
      </c>
      <c r="C16" s="8">
        <f t="shared" si="0"/>
        <v>15040</v>
      </c>
      <c r="D16" s="9"/>
      <c r="E16" s="10">
        <v>2252</v>
      </c>
      <c r="F16" s="11">
        <v>2213</v>
      </c>
      <c r="G16" s="12">
        <v>40</v>
      </c>
      <c r="H16" s="13">
        <v>47</v>
      </c>
      <c r="I16" s="23">
        <v>15040</v>
      </c>
      <c r="J16" s="21">
        <f t="shared" si="1"/>
        <v>0</v>
      </c>
      <c r="K16" s="22">
        <f t="shared" si="2"/>
        <v>0</v>
      </c>
    </row>
    <row r="17" spans="1:11" ht="15.6" x14ac:dyDescent="0.3">
      <c r="A17" s="6">
        <v>46325</v>
      </c>
      <c r="B17" s="7"/>
      <c r="C17" s="8">
        <f t="shared" si="0"/>
        <v>0</v>
      </c>
      <c r="D17" s="9"/>
      <c r="E17" s="10">
        <v>2375</v>
      </c>
      <c r="F17" s="11">
        <v>995</v>
      </c>
      <c r="G17" s="12">
        <v>29</v>
      </c>
      <c r="H17" s="13">
        <v>39</v>
      </c>
      <c r="I17" s="23">
        <v>12480</v>
      </c>
      <c r="J17" s="21">
        <f t="shared" si="1"/>
        <v>-39</v>
      </c>
      <c r="K17" s="22">
        <f t="shared" si="2"/>
        <v>-12480</v>
      </c>
    </row>
    <row r="18" spans="1:11" ht="15.6" x14ac:dyDescent="0.3">
      <c r="A18" s="6">
        <v>46326</v>
      </c>
      <c r="B18" s="7"/>
      <c r="C18" s="8">
        <f t="shared" si="0"/>
        <v>0</v>
      </c>
      <c r="D18" s="3"/>
      <c r="E18" s="3"/>
      <c r="F18" s="3"/>
      <c r="G18" s="3"/>
      <c r="H18" s="3"/>
      <c r="I18" s="3"/>
      <c r="J18" s="21"/>
      <c r="K18" s="21"/>
    </row>
    <row r="19" spans="1:11" ht="15.6" x14ac:dyDescent="0.3">
      <c r="A19" s="3"/>
      <c r="B19" s="7"/>
      <c r="C19" s="8"/>
      <c r="D19" s="3"/>
      <c r="E19" s="3"/>
      <c r="F19" s="3"/>
      <c r="G19" s="3"/>
      <c r="H19" s="3"/>
      <c r="I19" s="3"/>
      <c r="J19" s="21"/>
      <c r="K19" s="21"/>
    </row>
    <row r="20" spans="1:11" ht="15.6" x14ac:dyDescent="0.3">
      <c r="A20" s="3" t="s">
        <v>13</v>
      </c>
      <c r="B20" s="8">
        <f>SUM(B3:B18)</f>
        <v>695</v>
      </c>
      <c r="C20" s="8">
        <f>SUM(C3:C18)</f>
        <v>222400</v>
      </c>
      <c r="D20" s="3"/>
      <c r="E20" s="8"/>
      <c r="F20" s="8"/>
      <c r="G20" s="3"/>
      <c r="H20" s="3"/>
      <c r="I20" s="3"/>
      <c r="J20" s="21"/>
      <c r="K20" s="21"/>
    </row>
    <row r="21" spans="1:11" ht="15.6" x14ac:dyDescent="0.3">
      <c r="A21" s="3" t="s">
        <v>19</v>
      </c>
      <c r="B21" s="8">
        <f>B20/16</f>
        <v>43.4375</v>
      </c>
      <c r="C21" s="24">
        <f>C20/16</f>
        <v>13900</v>
      </c>
      <c r="D21" s="3"/>
      <c r="E21" s="3"/>
      <c r="F21" s="3"/>
      <c r="G21" s="3"/>
      <c r="H21" s="3"/>
      <c r="I21" s="3"/>
      <c r="J21" s="21"/>
      <c r="K21" s="21"/>
    </row>
    <row r="22" spans="1:11" ht="15.6" x14ac:dyDescent="0.3">
      <c r="A22" s="15"/>
      <c r="B22" s="16"/>
      <c r="C22" s="17"/>
      <c r="D22" s="15"/>
      <c r="E22" s="15"/>
      <c r="F22" s="15"/>
      <c r="G22" s="15"/>
      <c r="H22" s="15"/>
      <c r="I22" s="15"/>
    </row>
    <row r="23" spans="1:11" ht="15.6" x14ac:dyDescent="0.3">
      <c r="A23" s="18"/>
      <c r="B23" s="18"/>
      <c r="C23" s="18"/>
      <c r="D23" s="18"/>
      <c r="E23" s="15"/>
      <c r="F23" s="15"/>
      <c r="G23" s="15"/>
      <c r="H23" s="15"/>
      <c r="I23" s="15"/>
    </row>
  </sheetData>
  <mergeCells count="3">
    <mergeCell ref="A1:D1"/>
    <mergeCell ref="E1:I1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Pattarawarin Arunsawat</dc:creator>
  <cp:lastModifiedBy>Pattarawarin Arunsawat</cp:lastModifiedBy>
  <dcterms:created xsi:type="dcterms:W3CDTF">2026-10-30T01:43:07Z</dcterms:created>
  <dcterms:modified xsi:type="dcterms:W3CDTF">2026-10-30T01:56:20Z</dcterms:modified>
</cp:coreProperties>
</file>