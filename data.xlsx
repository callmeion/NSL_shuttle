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งบประมาณ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[$-409]d\-mmm\-yy;@"/>
    <numFmt numFmtId="166" formatCode="yyyy-mm-dd"/>
    <numFmt numFmtId="167" formatCode="mmm yyyy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2"/>
      <scheme val="minor"/>
    </font>
    <font>
      <name val="Arial"/>
      <family val="2"/>
      <b val="1"/>
      <color rgb="FF4ADE80"/>
      <sz val="7"/>
    </font>
    <font>
      <name val="Arial"/>
      <family val="2"/>
      <b val="1"/>
      <color rgb="FFF87171"/>
      <sz val="7"/>
    </font>
    <font>
      <name val="Arial"/>
      <family val="2"/>
      <color rgb="FFB45614"/>
      <sz val="7"/>
    </font>
    <font>
      <name val="Arial"/>
      <family val="2"/>
      <color rgb="FFF87171"/>
      <sz val="7"/>
    </font>
    <font>
      <name val="Arial"/>
      <family val="2"/>
      <color rgb="FFFBBF24"/>
      <sz val="7"/>
    </font>
    <font>
      <name val="Aptos Narrow"/>
      <family val="2"/>
      <color rgb="FFFF0000"/>
      <sz val="9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0D97B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43" fontId="1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1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1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right" vertical="center" wrapText="1" indent="1"/>
    </xf>
    <xf numFmtId="0" fontId="6" fillId="0" borderId="1" applyAlignment="1" pivotButton="0" quotePrefix="0" xfId="0">
      <alignment horizontal="right" vertical="center" wrapText="1" indent="1"/>
    </xf>
    <xf numFmtId="0" fontId="7" fillId="0" borderId="1" applyAlignment="1" pivotButton="0" quotePrefix="0" xfId="0">
      <alignment horizontal="right" vertical="center" wrapText="1" indent="1"/>
    </xf>
    <xf numFmtId="0" fontId="9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 wrapText="1"/>
    </xf>
    <xf numFmtId="164" fontId="3" fillId="0" borderId="0" applyAlignment="1" pivotButton="0" quotePrefix="0" xfId="1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" fontId="8" fillId="0" borderId="1" applyAlignment="1" pivotButton="0" quotePrefix="0" xfId="0">
      <alignment horizontal="right" vertical="center" wrapText="1" indent="1"/>
    </xf>
    <xf numFmtId="164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4" borderId="0" applyAlignment="1" pivotButton="0" quotePrefix="0" xfId="0">
      <alignment horizontal="center" wrapText="1"/>
    </xf>
    <xf numFmtId="167" fontId="0" fillId="0" borderId="0" pivotButton="0" quotePrefix="0" xfId="0"/>
    <xf numFmtId="3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5"/>
  <sheetViews>
    <sheetView tabSelected="1" workbookViewId="0">
      <pane ySplit="2" topLeftCell="A3" activePane="bottomLeft" state="frozen"/>
      <selection pane="bottomLeft" activeCell="A21" sqref="A21:K21"/>
    </sheetView>
  </sheetViews>
  <sheetFormatPr baseColWidth="8" defaultRowHeight="14.4"/>
  <cols>
    <col width="19.44140625" customWidth="1" min="1" max="1"/>
    <col width="16.6640625" customWidth="1" min="2" max="2"/>
    <col width="22.88671875" customWidth="1" min="3" max="3"/>
    <col width="22.109375" customWidth="1" min="4" max="4"/>
    <col width="13.6640625" customWidth="1" min="9" max="9"/>
    <col width="12.21875" customWidth="1" min="11" max="11"/>
  </cols>
  <sheetData>
    <row r="1" ht="15.6" customHeight="1">
      <c r="A1" s="1" t="inlineStr">
        <is>
          <t>ตารางสรุปเสริมรถรับส่งพนักงาน NSL (ข้อมูลทั้งหมด — 1 แถว = 1 วัน)</t>
        </is>
      </c>
      <c r="B1" s="25" t="n"/>
      <c r="C1" s="25" t="n"/>
      <c r="D1" s="26" t="n"/>
      <c r="E1" s="3" t="inlineStr">
        <is>
          <t>ในระบบ</t>
        </is>
      </c>
      <c r="F1" s="25" t="n"/>
      <c r="G1" s="25" t="n"/>
      <c r="H1" s="25" t="n"/>
      <c r="I1" s="26" t="n"/>
    </row>
    <row r="2" ht="62.4" customHeight="1">
      <c r="A2" s="3" t="inlineStr">
        <is>
          <t>วัน/เดือน/ปี</t>
        </is>
      </c>
      <c r="B2" s="20" t="inlineStr">
        <is>
          <t>จำนวนรถเสริมตามบิล / วัน</t>
        </is>
      </c>
      <c r="C2" s="5" t="inlineStr">
        <is>
          <t>ค่าใช้จ่ายต่อวัน</t>
        </is>
      </c>
      <c r="D2" s="3" t="inlineStr">
        <is>
          <t>หมายเหตุ</t>
        </is>
      </c>
      <c r="E2" s="3" t="inlineStr">
        <is>
          <t>รับ (คน)</t>
        </is>
      </c>
      <c r="F2" s="3" t="inlineStr">
        <is>
          <t>ส่ง (คน)</t>
        </is>
      </c>
      <c r="G2" s="3" t="inlineStr">
        <is>
          <t>รถบริษัท</t>
        </is>
      </c>
      <c r="H2" s="3" t="inlineStr">
        <is>
          <t>รถเสริม</t>
        </is>
      </c>
      <c r="I2" s="20" t="inlineStr">
        <is>
          <t>ค่าใช้จ่ายในระบบ</t>
        </is>
      </c>
      <c r="J2" s="20" t="inlineStr">
        <is>
          <t>จำนวนรอบรถเสริมที่เกิน</t>
        </is>
      </c>
      <c r="K2" s="20" t="inlineStr">
        <is>
          <t>จำนวนเที่ยวที่เกิน</t>
        </is>
      </c>
    </row>
    <row r="3" ht="15.6" customHeight="1">
      <c r="A3" s="6" t="n">
        <v>46054</v>
      </c>
      <c r="B3" s="7" t="n">
        <v>42</v>
      </c>
      <c r="C3" s="8">
        <f>B3*320</f>
        <v/>
      </c>
      <c r="D3" s="9" t="inlineStr">
        <is>
          <t>วันอาทิตย์/คนขับไม่ทำ OT</t>
        </is>
      </c>
      <c r="E3" s="3" t="n"/>
      <c r="F3" s="3" t="n"/>
      <c r="G3" s="3" t="n"/>
      <c r="H3" s="3" t="n"/>
      <c r="I3" s="3" t="n"/>
      <c r="J3" s="21">
        <f>IF(OR(B3="",H3=""),"",B3-H3)</f>
        <v/>
      </c>
      <c r="K3" s="21">
        <f>IF(OR(C3="",I3=""),"",C3-I3)</f>
        <v/>
      </c>
    </row>
    <row r="4" ht="15.6" customHeight="1">
      <c r="A4" s="6" t="n">
        <v>46055</v>
      </c>
      <c r="B4" s="7" t="n">
        <v>51</v>
      </c>
      <c r="C4" s="8">
        <f>B4*320</f>
        <v/>
      </c>
      <c r="D4" s="9" t="n"/>
      <c r="E4" s="3" t="n"/>
      <c r="F4" s="3" t="n"/>
      <c r="G4" s="3" t="n"/>
      <c r="H4" s="3" t="n"/>
      <c r="I4" s="3" t="n"/>
      <c r="J4" s="21">
        <f>IF(OR(B4="",H4=""),"",B4-H4)</f>
        <v/>
      </c>
      <c r="K4" s="21">
        <f>IF(OR(C4="",I4=""),"",C4-I4)</f>
        <v/>
      </c>
    </row>
    <row r="5" ht="15.6" customHeight="1">
      <c r="A5" s="6" t="n">
        <v>46056</v>
      </c>
      <c r="B5" s="7" t="n">
        <v>49</v>
      </c>
      <c r="C5" s="8">
        <f>B5*320</f>
        <v/>
      </c>
      <c r="D5" s="9" t="n"/>
      <c r="E5" s="3" t="n"/>
      <c r="F5" s="3" t="n"/>
      <c r="G5" s="3" t="n"/>
      <c r="H5" s="3" t="n"/>
      <c r="I5" s="3" t="n"/>
      <c r="J5" s="21">
        <f>IF(OR(B5="",H5=""),"",B5-H5)</f>
        <v/>
      </c>
      <c r="K5" s="21">
        <f>IF(OR(C5="",I5=""),"",C5-I5)</f>
        <v/>
      </c>
    </row>
    <row r="6" ht="15.6" customHeight="1">
      <c r="A6" s="6" t="n">
        <v>46057</v>
      </c>
      <c r="B6" s="7" t="n">
        <v>50</v>
      </c>
      <c r="C6" s="8">
        <f>B6*320</f>
        <v/>
      </c>
      <c r="D6" s="9" t="n"/>
      <c r="E6" s="3" t="n"/>
      <c r="F6" s="3" t="n"/>
      <c r="G6" s="3" t="n"/>
      <c r="H6" s="3" t="n"/>
      <c r="I6" s="3" t="n"/>
      <c r="J6" s="21">
        <f>IF(OR(B6="",H6=""),"",B6-H6)</f>
        <v/>
      </c>
      <c r="K6" s="21">
        <f>IF(OR(C6="",I6=""),"",C6-I6)</f>
        <v/>
      </c>
    </row>
    <row r="7" ht="15.6" customHeight="1">
      <c r="A7" s="6" t="n">
        <v>46058</v>
      </c>
      <c r="B7" s="7" t="n">
        <v>54</v>
      </c>
      <c r="C7" s="8">
        <f>B7*320</f>
        <v/>
      </c>
      <c r="D7" s="9" t="n"/>
      <c r="E7" s="3" t="n"/>
      <c r="F7" s="3" t="n"/>
      <c r="G7" s="3" t="n"/>
      <c r="H7" s="3" t="n"/>
      <c r="I7" s="3" t="n"/>
      <c r="J7" s="21">
        <f>IF(OR(B7="",H7=""),"",B7-H7)</f>
        <v/>
      </c>
      <c r="K7" s="21">
        <f>IF(OR(C7="",I7=""),"",C7-I7)</f>
        <v/>
      </c>
    </row>
    <row r="8" ht="15.6" customHeight="1">
      <c r="A8" s="6" t="n">
        <v>46059</v>
      </c>
      <c r="B8" s="7" t="n">
        <v>48</v>
      </c>
      <c r="C8" s="8">
        <f>B8*320</f>
        <v/>
      </c>
      <c r="D8" s="9" t="n"/>
      <c r="E8" s="3" t="n"/>
      <c r="F8" s="3" t="n"/>
      <c r="G8" s="3" t="n"/>
      <c r="H8" s="3" t="n"/>
      <c r="I8" s="3" t="n"/>
      <c r="J8" s="21">
        <f>IF(OR(B8="",H8=""),"",B8-H8)</f>
        <v/>
      </c>
      <c r="K8" s="21">
        <f>IF(OR(C8="",I8=""),"",C8-I8)</f>
        <v/>
      </c>
    </row>
    <row r="9" ht="15.6" customHeight="1">
      <c r="A9" s="6" t="n">
        <v>46060</v>
      </c>
      <c r="B9" s="7" t="n">
        <v>50</v>
      </c>
      <c r="C9" s="8">
        <f>B9*320</f>
        <v/>
      </c>
      <c r="D9" s="9" t="n"/>
      <c r="E9" s="3" t="n"/>
      <c r="F9" s="3" t="n"/>
      <c r="G9" s="3" t="n"/>
      <c r="H9" s="3" t="n"/>
      <c r="I9" s="3" t="n"/>
      <c r="J9" s="21">
        <f>IF(OR(B9="",H9=""),"",B9-H9)</f>
        <v/>
      </c>
      <c r="K9" s="21">
        <f>IF(OR(C9="",I9=""),"",C9-I9)</f>
        <v/>
      </c>
    </row>
    <row r="10" ht="15.6" customHeight="1">
      <c r="A10" s="6" t="n">
        <v>46061</v>
      </c>
      <c r="B10" s="7" t="n">
        <v>24</v>
      </c>
      <c r="C10" s="8">
        <f>B10*320</f>
        <v/>
      </c>
      <c r="D10" s="9" t="inlineStr">
        <is>
          <t>วันอาทิตย์</t>
        </is>
      </c>
      <c r="E10" s="3" t="n"/>
      <c r="F10" s="3" t="n"/>
      <c r="G10" s="3" t="n"/>
      <c r="H10" s="3" t="n"/>
      <c r="I10" s="3" t="n"/>
      <c r="J10" s="21">
        <f>IF(OR(B10="",H10=""),"",B10-H10)</f>
        <v/>
      </c>
      <c r="K10" s="21">
        <f>IF(OR(C10="",I10=""),"",C10-I10)</f>
        <v/>
      </c>
    </row>
    <row r="11" ht="15.6" customHeight="1">
      <c r="A11" s="6" t="n">
        <v>46062</v>
      </c>
      <c r="B11" s="7" t="n">
        <v>50</v>
      </c>
      <c r="C11" s="8">
        <f>B11*320</f>
        <v/>
      </c>
      <c r="D11" s="9" t="n"/>
      <c r="E11" s="3" t="n"/>
      <c r="F11" s="3" t="n"/>
      <c r="G11" s="3" t="n"/>
      <c r="H11" s="3" t="n"/>
      <c r="I11" s="3" t="n"/>
      <c r="J11" s="21">
        <f>IF(OR(B11="",H11=""),"",B11-H11)</f>
        <v/>
      </c>
      <c r="K11" s="21">
        <f>IF(OR(C11="",I11=""),"",C11-I11)</f>
        <v/>
      </c>
    </row>
    <row r="12" ht="15.6" customHeight="1">
      <c r="A12" s="6" t="n">
        <v>46063</v>
      </c>
      <c r="B12" s="7" t="n">
        <v>50</v>
      </c>
      <c r="C12" s="8">
        <f>B12*320</f>
        <v/>
      </c>
      <c r="D12" s="9" t="n"/>
      <c r="E12" s="3" t="n"/>
      <c r="F12" s="3" t="n"/>
      <c r="G12" s="3" t="n"/>
      <c r="H12" s="3" t="n"/>
      <c r="I12" s="3" t="n"/>
      <c r="J12" s="21">
        <f>IF(OR(B12="",H12=""),"",B12-H12)</f>
        <v/>
      </c>
      <c r="K12" s="21">
        <f>IF(OR(C12="",I12=""),"",C12-I12)</f>
        <v/>
      </c>
    </row>
    <row r="13" ht="31.2" customHeight="1">
      <c r="A13" s="6" t="n">
        <v>46064</v>
      </c>
      <c r="B13" s="7" t="n">
        <v>49</v>
      </c>
      <c r="C13" s="8">
        <f>B13*320</f>
        <v/>
      </c>
      <c r="D13" s="9" t="n"/>
      <c r="E13" s="3" t="n"/>
      <c r="F13" s="3" t="n"/>
      <c r="G13" s="3" t="n"/>
      <c r="H13" s="3" t="n"/>
      <c r="I13" s="3" t="n"/>
      <c r="J13" s="21">
        <f>IF(OR(B13="",H13=""),"",B13-H13)</f>
        <v/>
      </c>
      <c r="K13" s="21">
        <f>IF(OR(C13="",I13=""),"",C13-I13)</f>
        <v/>
      </c>
    </row>
    <row r="14" ht="15.6" customHeight="1">
      <c r="A14" s="6" t="n">
        <v>46065</v>
      </c>
      <c r="B14" s="7" t="n">
        <v>49</v>
      </c>
      <c r="C14" s="8">
        <f>B14*320</f>
        <v/>
      </c>
      <c r="D14" s="9" t="n"/>
      <c r="E14" s="3" t="n"/>
      <c r="F14" s="3" t="n"/>
      <c r="G14" s="3" t="n"/>
      <c r="H14" s="3" t="n"/>
      <c r="I14" s="3" t="n"/>
      <c r="J14" s="21">
        <f>IF(OR(B14="",H14=""),"",B14-H14)</f>
        <v/>
      </c>
      <c r="K14" s="21">
        <f>IF(OR(C14="",I14=""),"",C14-I14)</f>
        <v/>
      </c>
    </row>
    <row r="15" ht="15.6" customHeight="1">
      <c r="A15" s="6" t="n">
        <v>46066</v>
      </c>
      <c r="B15" s="7" t="n">
        <v>47</v>
      </c>
      <c r="C15" s="8">
        <f>B15*320</f>
        <v/>
      </c>
      <c r="D15" s="9" t="n"/>
      <c r="E15" s="3" t="n"/>
      <c r="F15" s="3" t="n"/>
      <c r="G15" s="3" t="n"/>
      <c r="H15" s="3" t="n"/>
      <c r="I15" s="3" t="n"/>
      <c r="J15" s="21">
        <f>IF(OR(B15="",H15=""),"",B15-H15)</f>
        <v/>
      </c>
      <c r="K15" s="21">
        <f>IF(OR(C15="",I15=""),"",C15-I15)</f>
        <v/>
      </c>
    </row>
    <row r="16" ht="15.6" customHeight="1">
      <c r="A16" s="6" t="n">
        <v>46067</v>
      </c>
      <c r="B16" s="7" t="n">
        <v>49</v>
      </c>
      <c r="C16" s="8">
        <f>B16*320</f>
        <v/>
      </c>
      <c r="D16" s="9" t="n"/>
      <c r="E16" s="3" t="n"/>
      <c r="F16" s="3" t="n"/>
      <c r="G16" s="3" t="n"/>
      <c r="H16" s="3" t="n"/>
      <c r="I16" s="3" t="n"/>
      <c r="J16" s="21">
        <f>IF(OR(B16="",H16=""),"",B16-H16)</f>
        <v/>
      </c>
      <c r="K16" s="21">
        <f>IF(OR(C16="",I16=""),"",C16-I16)</f>
        <v/>
      </c>
    </row>
    <row r="17" ht="15.6" customHeight="1">
      <c r="A17" s="6" t="n">
        <v>46068</v>
      </c>
      <c r="B17" s="7" t="n">
        <v>20</v>
      </c>
      <c r="C17" s="8">
        <f>B17*320</f>
        <v/>
      </c>
      <c r="D17" s="9" t="inlineStr">
        <is>
          <t>วันอาทิตย์</t>
        </is>
      </c>
      <c r="E17" s="3" t="n"/>
      <c r="F17" s="3" t="n"/>
      <c r="G17" s="3" t="n"/>
      <c r="H17" s="3" t="n"/>
      <c r="I17" s="3" t="n"/>
      <c r="J17" s="21">
        <f>IF(OR(B17="",H17=""),"",B17-H17)</f>
        <v/>
      </c>
      <c r="K17" s="21">
        <f>IF(OR(C17="",I17=""),"",C17-I17)</f>
        <v/>
      </c>
    </row>
    <row r="18" ht="15.6" customHeight="1">
      <c r="A18" s="6" t="n">
        <v>46069</v>
      </c>
      <c r="B18" s="7" t="n">
        <v>62</v>
      </c>
      <c r="C18" s="8">
        <f>B18*320</f>
        <v/>
      </c>
      <c r="D18" s="9" t="inlineStr">
        <is>
          <t>พนักงานขับรถบริษัทลา</t>
        </is>
      </c>
      <c r="E18" s="3" t="n"/>
      <c r="F18" s="3" t="n"/>
      <c r="G18" s="3" t="n"/>
      <c r="H18" s="3" t="n"/>
      <c r="I18" s="3" t="n"/>
      <c r="J18" s="21">
        <f>IF(OR(B18="",H18=""),"",B18-H18)</f>
        <v/>
      </c>
      <c r="K18" s="21">
        <f>IF(OR(C18="",I18=""),"",C18-I18)</f>
        <v/>
      </c>
    </row>
    <row r="19" ht="15.6" customHeight="1">
      <c r="A19" s="6" t="n">
        <v>46070</v>
      </c>
      <c r="B19" s="7" t="n">
        <v>66</v>
      </c>
      <c r="C19" s="8">
        <f>B19*320</f>
        <v/>
      </c>
      <c r="D19" s="9" t="inlineStr">
        <is>
          <t>พนักงานขับรถบริษัทลา</t>
        </is>
      </c>
      <c r="E19" s="3" t="n"/>
      <c r="F19" s="3" t="n"/>
      <c r="G19" s="3" t="n"/>
      <c r="H19" s="3" t="n"/>
      <c r="I19" s="3" t="n"/>
      <c r="J19" s="21">
        <f>IF(OR(B19="",H19=""),"",B19-H19)</f>
        <v/>
      </c>
      <c r="K19" s="21">
        <f>IF(OR(C19="",I19=""),"",C19-I19)</f>
        <v/>
      </c>
    </row>
    <row r="20" ht="15.6" customHeight="1">
      <c r="A20" s="6" t="n">
        <v>46071</v>
      </c>
      <c r="B20" s="7" t="n">
        <v>51</v>
      </c>
      <c r="C20" s="8">
        <f>B20*320</f>
        <v/>
      </c>
      <c r="D20" s="9" t="n"/>
      <c r="E20" s="3" t="n"/>
      <c r="F20" s="3" t="n"/>
      <c r="G20" s="3" t="n"/>
      <c r="H20" s="3" t="n"/>
      <c r="I20" s="3" t="n"/>
      <c r="J20" s="21">
        <f>IF(OR(B20="",H20=""),"",B20-H20)</f>
        <v/>
      </c>
      <c r="K20" s="21">
        <f>IF(OR(C20="",I20=""),"",C20-I20)</f>
        <v/>
      </c>
    </row>
    <row r="21" ht="15.6" customHeight="1">
      <c r="A21" s="6" t="n">
        <v>46072</v>
      </c>
      <c r="B21" s="7" t="n">
        <v>48</v>
      </c>
      <c r="C21" s="8">
        <f>B21*320</f>
        <v/>
      </c>
      <c r="D21" s="9" t="n"/>
      <c r="E21" s="3" t="n"/>
      <c r="F21" s="3" t="n"/>
      <c r="G21" s="3" t="n"/>
      <c r="H21" s="3" t="n"/>
      <c r="I21" s="3" t="n"/>
      <c r="J21" s="21">
        <f>IF(OR(B21="",H21=""),"",B21-H21)</f>
        <v/>
      </c>
      <c r="K21" s="21">
        <f>IF(OR(C21="",I21=""),"",C21-I21)</f>
        <v/>
      </c>
    </row>
    <row r="22" ht="15.6" customHeight="1">
      <c r="A22" s="6" t="n">
        <v>46073</v>
      </c>
      <c r="B22" s="7" t="n">
        <v>52</v>
      </c>
      <c r="C22" s="8">
        <f>B22*320</f>
        <v/>
      </c>
      <c r="D22" s="9" t="n"/>
      <c r="E22" s="3" t="n"/>
      <c r="F22" s="3" t="n"/>
      <c r="G22" s="3" t="n"/>
      <c r="H22" s="3" t="n"/>
      <c r="I22" s="3" t="n"/>
      <c r="J22" s="21">
        <f>IF(OR(B22="",H22=""),"",B22-H22)</f>
        <v/>
      </c>
      <c r="K22" s="21">
        <f>IF(OR(C22="",I22=""),"",C22-I22)</f>
        <v/>
      </c>
    </row>
    <row r="23" ht="15.6" customHeight="1">
      <c r="A23" s="6" t="n">
        <v>46074</v>
      </c>
      <c r="B23" s="7" t="n">
        <v>47</v>
      </c>
      <c r="C23" s="8">
        <f>B23*320</f>
        <v/>
      </c>
      <c r="D23" s="9" t="n"/>
      <c r="E23" s="3" t="n"/>
      <c r="F23" s="3" t="n"/>
      <c r="G23" s="3" t="n"/>
      <c r="H23" s="3" t="n"/>
      <c r="I23" s="3" t="n"/>
      <c r="J23" s="21">
        <f>IF(OR(B23="",H23=""),"",B23-H23)</f>
        <v/>
      </c>
      <c r="K23" s="21">
        <f>IF(OR(C23="",I23=""),"",C23-I23)</f>
        <v/>
      </c>
    </row>
    <row r="24">
      <c r="A24" s="6" t="n">
        <v>46075</v>
      </c>
      <c r="B24" s="7" t="n">
        <v>21</v>
      </c>
      <c r="C24" s="8">
        <f>B24*320</f>
        <v/>
      </c>
      <c r="D24" s="9" t="inlineStr">
        <is>
          <t>วันอาทิตย์</t>
        </is>
      </c>
      <c r="E24" s="3" t="n"/>
      <c r="F24" s="3" t="n"/>
      <c r="G24" s="3" t="n"/>
      <c r="H24" s="3" t="n"/>
      <c r="I24" s="3" t="n"/>
      <c r="J24" s="21">
        <f>IF(OR(B24="",H24=""),"",B24-H24)</f>
        <v/>
      </c>
      <c r="K24" s="21">
        <f>IF(OR(C24="",I24=""),"",C24-I24)</f>
        <v/>
      </c>
    </row>
    <row r="25">
      <c r="A25" s="6" t="n">
        <v>46076</v>
      </c>
      <c r="B25" s="7" t="n">
        <v>52</v>
      </c>
      <c r="C25" s="8">
        <f>B25*320</f>
        <v/>
      </c>
      <c r="D25" s="9" t="n"/>
      <c r="E25" s="3" t="n"/>
      <c r="F25" s="3" t="n"/>
      <c r="G25" s="3" t="n"/>
      <c r="H25" s="3" t="n"/>
      <c r="I25" s="3" t="n"/>
      <c r="J25" s="21">
        <f>IF(OR(B25="",H25=""),"",B25-H25)</f>
        <v/>
      </c>
      <c r="K25" s="21">
        <f>IF(OR(C25="",I25=""),"",C25-I25)</f>
        <v/>
      </c>
    </row>
    <row r="26">
      <c r="A26" s="6" t="n">
        <v>46077</v>
      </c>
      <c r="B26" s="7" t="n">
        <v>50</v>
      </c>
      <c r="C26" s="8">
        <f>B26*320</f>
        <v/>
      </c>
      <c r="D26" s="9" t="n"/>
      <c r="E26" s="3" t="n"/>
      <c r="F26" s="3" t="n"/>
      <c r="G26" s="3" t="n"/>
      <c r="H26" s="3" t="n"/>
      <c r="I26" s="3" t="n"/>
      <c r="J26" s="21">
        <f>IF(OR(B26="",H26=""),"",B26-H26)</f>
        <v/>
      </c>
      <c r="K26" s="21">
        <f>IF(OR(C26="",I26=""),"",C26-I26)</f>
        <v/>
      </c>
    </row>
    <row r="27">
      <c r="A27" s="6" t="n">
        <v>46078</v>
      </c>
      <c r="B27" s="7" t="n">
        <v>50</v>
      </c>
      <c r="C27" s="8">
        <f>B27*320</f>
        <v/>
      </c>
      <c r="D27" s="9" t="n"/>
      <c r="E27" s="3" t="n"/>
      <c r="F27" s="3" t="n"/>
      <c r="G27" s="3" t="n"/>
      <c r="H27" s="3" t="n"/>
      <c r="I27" s="3" t="n"/>
      <c r="J27" s="21">
        <f>IF(OR(B27="",H27=""),"",B27-H27)</f>
        <v/>
      </c>
      <c r="K27" s="21">
        <f>IF(OR(C27="",I27=""),"",C27-I27)</f>
        <v/>
      </c>
    </row>
    <row r="28">
      <c r="A28" s="6" t="n">
        <v>46079</v>
      </c>
      <c r="B28" s="7" t="n">
        <v>48</v>
      </c>
      <c r="C28" s="8">
        <f>B28*320</f>
        <v/>
      </c>
      <c r="D28" s="9" t="n"/>
      <c r="E28" s="3" t="n"/>
      <c r="F28" s="3" t="n"/>
      <c r="G28" s="3" t="n"/>
      <c r="H28" s="3" t="n"/>
      <c r="I28" s="3" t="n"/>
      <c r="J28" s="21">
        <f>IF(OR(B28="",H28=""),"",B28-H28)</f>
        <v/>
      </c>
      <c r="K28" s="21">
        <f>IF(OR(C28="",I28=""),"",C28-I28)</f>
        <v/>
      </c>
    </row>
    <row r="29">
      <c r="A29" s="6" t="n">
        <v>46080</v>
      </c>
      <c r="B29" s="7" t="n">
        <v>55</v>
      </c>
      <c r="C29" s="8">
        <f>B29*320</f>
        <v/>
      </c>
      <c r="D29" s="9" t="n"/>
      <c r="E29" s="3" t="n"/>
      <c r="F29" s="3" t="n"/>
      <c r="G29" s="3" t="n"/>
      <c r="H29" s="3" t="n"/>
      <c r="I29" s="3" t="n"/>
      <c r="J29" s="21">
        <f>IF(OR(B29="",H29=""),"",B29-H29)</f>
        <v/>
      </c>
      <c r="K29" s="21">
        <f>IF(OR(C29="",I29=""),"",C29-I29)</f>
        <v/>
      </c>
    </row>
    <row r="30">
      <c r="A30" s="6" t="n">
        <v>46081</v>
      </c>
      <c r="B30" s="7" t="n">
        <v>47</v>
      </c>
      <c r="C30" s="8">
        <f>B30*320</f>
        <v/>
      </c>
      <c r="D30" s="9" t="n"/>
      <c r="E30" s="3" t="n"/>
      <c r="F30" s="3" t="n"/>
      <c r="G30" s="3" t="n"/>
      <c r="H30" s="3" t="n"/>
      <c r="I30" s="3" t="n"/>
      <c r="J30" s="21">
        <f>IF(OR(B30="",H30=""),"",B30-H30)</f>
        <v/>
      </c>
      <c r="K30" s="21">
        <f>IF(OR(C30="",I30=""),"",C30-I30)</f>
        <v/>
      </c>
    </row>
    <row r="31">
      <c r="A31" s="6" t="n">
        <v>46082</v>
      </c>
      <c r="B31" s="7" t="n">
        <v>28</v>
      </c>
      <c r="C31" s="8">
        <f>B31*320</f>
        <v/>
      </c>
      <c r="D31" s="9" t="inlineStr">
        <is>
          <t>วันอาทิตย์</t>
        </is>
      </c>
      <c r="E31" s="3" t="n"/>
      <c r="F31" s="3" t="n"/>
      <c r="G31" s="3" t="n"/>
      <c r="H31" s="3" t="n"/>
      <c r="I31" s="3" t="n"/>
      <c r="J31" s="21">
        <f>IF(OR(B31="",H31=""),"",B31-H31)</f>
        <v/>
      </c>
      <c r="K31" s="21">
        <f>IF(OR(C31="",I31=""),"",C31-I31)</f>
        <v/>
      </c>
    </row>
    <row r="32">
      <c r="A32" s="6" t="n">
        <v>46083</v>
      </c>
      <c r="B32" s="7" t="n">
        <v>52</v>
      </c>
      <c r="C32" s="8">
        <f>B32*320</f>
        <v/>
      </c>
      <c r="D32" s="9" t="n"/>
      <c r="E32" s="3" t="n"/>
      <c r="F32" s="3" t="n"/>
      <c r="G32" s="3" t="n"/>
      <c r="H32" s="3" t="n"/>
      <c r="I32" s="3" t="n"/>
      <c r="J32" s="21">
        <f>IF(OR(B32="",H32=""),"",B32-H32)</f>
        <v/>
      </c>
      <c r="K32" s="21">
        <f>IF(OR(C32="",I32=""),"",C32-I32)</f>
        <v/>
      </c>
    </row>
    <row r="33">
      <c r="A33" s="6" t="n">
        <v>46084</v>
      </c>
      <c r="B33" s="7" t="n">
        <v>59</v>
      </c>
      <c r="C33" s="8">
        <f>B33*320</f>
        <v/>
      </c>
      <c r="D33" s="9" t="inlineStr">
        <is>
          <t>วันมาฆบูชา</t>
        </is>
      </c>
      <c r="E33" s="3" t="n"/>
      <c r="F33" s="3" t="n"/>
      <c r="G33" s="3" t="n"/>
      <c r="H33" s="3" t="n"/>
      <c r="I33" s="3" t="n"/>
      <c r="J33" s="21">
        <f>IF(OR(B33="",H33=""),"",B33-H33)</f>
        <v/>
      </c>
      <c r="K33" s="21">
        <f>IF(OR(C33="",I33=""),"",C33-I33)</f>
        <v/>
      </c>
    </row>
    <row r="34">
      <c r="A34" s="6" t="n">
        <v>46085</v>
      </c>
      <c r="B34" s="7" t="n">
        <v>45</v>
      </c>
      <c r="C34" s="8">
        <f>B34*320</f>
        <v/>
      </c>
      <c r="D34" s="9" t="n"/>
      <c r="E34" s="3" t="n"/>
      <c r="F34" s="3" t="n"/>
      <c r="G34" s="3" t="n"/>
      <c r="H34" s="3" t="n"/>
      <c r="I34" s="3" t="n"/>
      <c r="J34" s="21">
        <f>IF(OR(B34="",H34=""),"",B34-H34)</f>
        <v/>
      </c>
      <c r="K34" s="21">
        <f>IF(OR(C34="",I34=""),"",C34-I34)</f>
        <v/>
      </c>
    </row>
    <row r="35">
      <c r="A35" s="6" t="n">
        <v>46086</v>
      </c>
      <c r="B35" s="7" t="n">
        <v>54</v>
      </c>
      <c r="C35" s="8">
        <f>B35*320</f>
        <v/>
      </c>
      <c r="D35" s="9" t="n"/>
      <c r="E35" s="3" t="n"/>
      <c r="F35" s="3" t="n"/>
      <c r="G35" s="3" t="n"/>
      <c r="H35" s="3" t="n"/>
      <c r="I35" s="3" t="n"/>
      <c r="J35" s="21">
        <f>IF(OR(B35="",H35=""),"",B35-H35)</f>
        <v/>
      </c>
      <c r="K35" s="21">
        <f>IF(OR(C35="",I35=""),"",C35-I35)</f>
        <v/>
      </c>
    </row>
    <row r="36">
      <c r="A36" s="6" t="n">
        <v>46087</v>
      </c>
      <c r="B36" s="7" t="n">
        <v>50</v>
      </c>
      <c r="C36" s="8">
        <f>B36*320</f>
        <v/>
      </c>
      <c r="D36" s="9" t="n"/>
      <c r="E36" s="3" t="n"/>
      <c r="F36" s="3" t="n"/>
      <c r="G36" s="3" t="n"/>
      <c r="H36" s="3" t="n"/>
      <c r="I36" s="3" t="n"/>
      <c r="J36" s="21">
        <f>IF(OR(B36="",H36=""),"",B36-H36)</f>
        <v/>
      </c>
      <c r="K36" s="21">
        <f>IF(OR(C36="",I36=""),"",C36-I36)</f>
        <v/>
      </c>
    </row>
    <row r="37">
      <c r="A37" s="6" t="n">
        <v>46088</v>
      </c>
      <c r="B37" s="7" t="n">
        <v>55</v>
      </c>
      <c r="C37" s="8">
        <f>B37*320</f>
        <v/>
      </c>
      <c r="D37" s="9" t="n"/>
      <c r="E37" s="3" t="n"/>
      <c r="F37" s="3" t="n"/>
      <c r="G37" s="3" t="n"/>
      <c r="H37" s="3" t="n"/>
      <c r="I37" s="3" t="n"/>
      <c r="J37" s="21">
        <f>IF(OR(B37="",H37=""),"",B37-H37)</f>
        <v/>
      </c>
      <c r="K37" s="21">
        <f>IF(OR(C37="",I37=""),"",C37-I37)</f>
        <v/>
      </c>
    </row>
    <row r="38">
      <c r="A38" s="6" t="n">
        <v>46089</v>
      </c>
      <c r="B38" s="7" t="n">
        <v>42</v>
      </c>
      <c r="C38" s="8">
        <f>B38*320</f>
        <v/>
      </c>
      <c r="D38" s="9" t="inlineStr">
        <is>
          <t>วันอาทิตย์</t>
        </is>
      </c>
      <c r="E38" s="3" t="n"/>
      <c r="F38" s="3" t="n"/>
      <c r="G38" s="3" t="n"/>
      <c r="H38" s="3" t="n"/>
      <c r="I38" s="3" t="n"/>
      <c r="J38" s="21">
        <f>IF(OR(B38="",H38=""),"",B38-H38)</f>
        <v/>
      </c>
      <c r="K38" s="21">
        <f>IF(OR(C38="",I38=""),"",C38-I38)</f>
        <v/>
      </c>
    </row>
    <row r="39">
      <c r="A39" s="6" t="n">
        <v>46090</v>
      </c>
      <c r="B39" s="7" t="n">
        <v>50</v>
      </c>
      <c r="C39" s="8">
        <f>B39*320</f>
        <v/>
      </c>
      <c r="D39" s="9" t="n"/>
      <c r="E39" s="3" t="n"/>
      <c r="F39" s="3" t="n"/>
      <c r="G39" s="3" t="n"/>
      <c r="H39" s="3" t="n"/>
      <c r="I39" s="3" t="n"/>
      <c r="J39" s="21">
        <f>IF(OR(B39="",H39=""),"",B39-H39)</f>
        <v/>
      </c>
      <c r="K39" s="21">
        <f>IF(OR(C39="",I39=""),"",C39-I39)</f>
        <v/>
      </c>
    </row>
    <row r="40">
      <c r="A40" s="6" t="n">
        <v>46091</v>
      </c>
      <c r="B40" s="7" t="n">
        <v>50</v>
      </c>
      <c r="C40" s="8">
        <f>B40*320</f>
        <v/>
      </c>
      <c r="D40" s="9" t="n"/>
      <c r="E40" s="3" t="n"/>
      <c r="F40" s="3" t="n"/>
      <c r="G40" s="3" t="n"/>
      <c r="H40" s="3" t="n"/>
      <c r="I40" s="3" t="n"/>
      <c r="J40" s="21">
        <f>IF(OR(B40="",H40=""),"",B40-H40)</f>
        <v/>
      </c>
      <c r="K40" s="21">
        <f>IF(OR(C40="",I40=""),"",C40-I40)</f>
        <v/>
      </c>
    </row>
    <row r="41">
      <c r="A41" s="6" t="n">
        <v>46092</v>
      </c>
      <c r="B41" s="7" t="n">
        <v>52</v>
      </c>
      <c r="C41" s="8">
        <f>B41*320</f>
        <v/>
      </c>
      <c r="D41" s="9" t="n"/>
      <c r="E41" s="3" t="n"/>
      <c r="F41" s="3" t="n"/>
      <c r="G41" s="3" t="n"/>
      <c r="H41" s="3" t="n"/>
      <c r="I41" s="3" t="n"/>
      <c r="J41" s="21">
        <f>IF(OR(B41="",H41=""),"",B41-H41)</f>
        <v/>
      </c>
      <c r="K41" s="21">
        <f>IF(OR(C41="",I41=""),"",C41-I41)</f>
        <v/>
      </c>
    </row>
    <row r="42">
      <c r="A42" s="6" t="n">
        <v>46093</v>
      </c>
      <c r="B42" s="7" t="n">
        <v>51</v>
      </c>
      <c r="C42" s="8">
        <f>B42*320</f>
        <v/>
      </c>
      <c r="D42" s="9" t="n"/>
      <c r="E42" s="3" t="n"/>
      <c r="F42" s="3" t="n"/>
      <c r="G42" s="3" t="n"/>
      <c r="H42" s="3" t="n"/>
      <c r="I42" s="3" t="n"/>
      <c r="J42" s="21">
        <f>IF(OR(B42="",H42=""),"",B42-H42)</f>
        <v/>
      </c>
      <c r="K42" s="21">
        <f>IF(OR(C42="",I42=""),"",C42-I42)</f>
        <v/>
      </c>
    </row>
    <row r="43">
      <c r="A43" s="6" t="n">
        <v>46094</v>
      </c>
      <c r="B43" s="7" t="n">
        <v>54</v>
      </c>
      <c r="C43" s="8">
        <f>B43*320</f>
        <v/>
      </c>
      <c r="D43" s="9" t="n"/>
      <c r="E43" s="3" t="n"/>
      <c r="F43" s="3" t="n"/>
      <c r="G43" s="3" t="n"/>
      <c r="H43" s="3" t="n"/>
      <c r="I43" s="3" t="n"/>
      <c r="J43" s="21">
        <f>IF(OR(B43="",H43=""),"",B43-H43)</f>
        <v/>
      </c>
      <c r="K43" s="21">
        <f>IF(OR(C43="",I43=""),"",C43-I43)</f>
        <v/>
      </c>
    </row>
    <row r="44">
      <c r="A44" s="6" t="n">
        <v>46095</v>
      </c>
      <c r="B44" s="7" t="n">
        <v>54</v>
      </c>
      <c r="C44" s="8">
        <f>B44*320</f>
        <v/>
      </c>
      <c r="D44" s="9" t="n"/>
      <c r="E44" s="3" t="n"/>
      <c r="F44" s="3" t="n"/>
      <c r="G44" s="3" t="n"/>
      <c r="H44" s="3" t="n"/>
      <c r="I44" s="3" t="n"/>
      <c r="J44" s="21">
        <f>IF(OR(B44="",H44=""),"",B44-H44)</f>
        <v/>
      </c>
      <c r="K44" s="21">
        <f>IF(OR(C44="",I44=""),"",C44-I44)</f>
        <v/>
      </c>
    </row>
    <row r="45">
      <c r="A45" s="6" t="n">
        <v>46096</v>
      </c>
      <c r="B45" s="7" t="n">
        <v>30</v>
      </c>
      <c r="C45" s="8">
        <f>B45*320</f>
        <v/>
      </c>
      <c r="D45" s="9" t="n"/>
      <c r="E45" s="3" t="n"/>
      <c r="F45" s="3" t="n"/>
      <c r="G45" s="3" t="n"/>
      <c r="H45" s="3" t="n"/>
      <c r="I45" s="3" t="n"/>
      <c r="J45" s="21">
        <f>IF(OR(B45="",H45=""),"",B45-H45)</f>
        <v/>
      </c>
      <c r="K45" s="21">
        <f>IF(OR(C45="",I45=""),"",C45-I45)</f>
        <v/>
      </c>
    </row>
    <row r="46">
      <c r="A46" s="6" t="n">
        <v>46097</v>
      </c>
      <c r="B46" s="7" t="n">
        <v>55</v>
      </c>
      <c r="C46" s="8">
        <f>B46*320</f>
        <v/>
      </c>
      <c r="D46" s="9" t="n"/>
      <c r="E46" s="3" t="n"/>
      <c r="F46" s="3" t="n"/>
      <c r="G46" s="3" t="n"/>
      <c r="H46" s="3" t="n"/>
      <c r="I46" s="3" t="n"/>
      <c r="J46" s="21">
        <f>IF(OR(B46="",H46=""),"",B46-H46)</f>
        <v/>
      </c>
      <c r="K46" s="21">
        <f>IF(OR(C46="",I46=""),"",C46-I46)</f>
        <v/>
      </c>
    </row>
    <row r="47">
      <c r="A47" s="6" t="n">
        <v>46098</v>
      </c>
      <c r="B47" s="7" t="n">
        <v>56</v>
      </c>
      <c r="C47" s="8">
        <f>B47*320</f>
        <v/>
      </c>
      <c r="D47" s="9" t="n"/>
      <c r="E47" s="3" t="n"/>
      <c r="F47" s="3" t="n"/>
      <c r="G47" s="3" t="n"/>
      <c r="H47" s="3" t="n"/>
      <c r="I47" s="3" t="n"/>
      <c r="J47" s="21">
        <f>IF(OR(B47="",H47=""),"",B47-H47)</f>
        <v/>
      </c>
      <c r="K47" s="21">
        <f>IF(OR(C47="",I47=""),"",C47-I47)</f>
        <v/>
      </c>
    </row>
    <row r="48">
      <c r="A48" s="6" t="n">
        <v>46099</v>
      </c>
      <c r="B48" s="7" t="n">
        <v>53</v>
      </c>
      <c r="C48" s="8">
        <f>B48*320</f>
        <v/>
      </c>
      <c r="D48" s="9" t="n"/>
      <c r="E48" s="3" t="n"/>
      <c r="F48" s="3" t="n"/>
      <c r="G48" s="3" t="n"/>
      <c r="H48" s="3" t="n"/>
      <c r="I48" s="3" t="n"/>
      <c r="J48" s="21">
        <f>IF(OR(B48="",H48=""),"",B48-H48)</f>
        <v/>
      </c>
      <c r="K48" s="21">
        <f>IF(OR(C48="",I48=""),"",C48-I48)</f>
        <v/>
      </c>
    </row>
    <row r="49">
      <c r="A49" s="6" t="n">
        <v>46100</v>
      </c>
      <c r="B49" s="7" t="n">
        <v>53</v>
      </c>
      <c r="C49" s="8">
        <f>B49*320</f>
        <v/>
      </c>
      <c r="D49" s="9" t="n"/>
      <c r="E49" s="3" t="n"/>
      <c r="F49" s="3" t="n"/>
      <c r="G49" s="3" t="n"/>
      <c r="H49" s="3" t="n"/>
      <c r="I49" s="3" t="n"/>
      <c r="J49" s="21">
        <f>IF(OR(B49="",H49=""),"",B49-H49)</f>
        <v/>
      </c>
      <c r="K49" s="21">
        <f>IF(OR(C49="",I49=""),"",C49-I49)</f>
        <v/>
      </c>
    </row>
    <row r="50">
      <c r="A50" s="6" t="n">
        <v>46101</v>
      </c>
      <c r="B50" s="7" t="n">
        <v>53</v>
      </c>
      <c r="C50" s="8">
        <f>B50*320</f>
        <v/>
      </c>
      <c r="D50" s="9" t="n"/>
      <c r="E50" s="3" t="n"/>
      <c r="F50" s="3" t="n"/>
      <c r="G50" s="3" t="n"/>
      <c r="H50" s="3" t="n"/>
      <c r="I50" s="3" t="n"/>
      <c r="J50" s="21">
        <f>IF(OR(B50="",H50=""),"",B50-H50)</f>
        <v/>
      </c>
      <c r="K50" s="21">
        <f>IF(OR(C50="",I50=""),"",C50-I50)</f>
        <v/>
      </c>
    </row>
    <row r="51">
      <c r="A51" s="6" t="n">
        <v>46102</v>
      </c>
      <c r="B51" s="7" t="n">
        <v>50</v>
      </c>
      <c r="C51" s="8">
        <f>B51*320</f>
        <v/>
      </c>
      <c r="D51" s="9" t="n"/>
      <c r="E51" s="3" t="n"/>
      <c r="F51" s="3" t="n"/>
      <c r="G51" s="3" t="n"/>
      <c r="H51" s="3" t="n"/>
      <c r="I51" s="3" t="n"/>
      <c r="J51" s="21">
        <f>IF(OR(B51="",H51=""),"",B51-H51)</f>
        <v/>
      </c>
      <c r="K51" s="21">
        <f>IF(OR(C51="",I51=""),"",C51-I51)</f>
        <v/>
      </c>
    </row>
    <row r="52">
      <c r="A52" s="6" t="n">
        <v>46103</v>
      </c>
      <c r="B52" s="7" t="n">
        <v>34</v>
      </c>
      <c r="C52" s="8">
        <f>B52*320</f>
        <v/>
      </c>
      <c r="D52" s="9" t="inlineStr">
        <is>
          <t>วันอาทิตย์</t>
        </is>
      </c>
      <c r="E52" s="3" t="n"/>
      <c r="F52" s="3" t="n"/>
      <c r="G52" s="3" t="n"/>
      <c r="H52" s="3" t="n"/>
      <c r="I52" s="3" t="n"/>
      <c r="J52" s="21">
        <f>IF(OR(B52="",H52=""),"",B52-H52)</f>
        <v/>
      </c>
      <c r="K52" s="21">
        <f>IF(OR(C52="",I52=""),"",C52-I52)</f>
        <v/>
      </c>
    </row>
    <row r="53">
      <c r="A53" s="6" t="n">
        <v>46104</v>
      </c>
      <c r="B53" s="7" t="n">
        <v>58</v>
      </c>
      <c r="C53" s="8">
        <f>B53*320</f>
        <v/>
      </c>
      <c r="D53" s="9" t="inlineStr">
        <is>
          <t>วันจันทร์เข้างานช่วงเช้าไม่มีรถบริษัท</t>
        </is>
      </c>
      <c r="E53" s="3" t="n"/>
      <c r="F53" s="3" t="n"/>
      <c r="G53" s="3" t="n"/>
      <c r="H53" s="3" t="n"/>
      <c r="I53" s="3" t="n"/>
      <c r="J53" s="21">
        <f>IF(OR(B53="",H53=""),"",B53-H53)</f>
        <v/>
      </c>
      <c r="K53" s="21">
        <f>IF(OR(C53="",I53=""),"",C53-I53)</f>
        <v/>
      </c>
    </row>
    <row r="54">
      <c r="A54" s="6" t="n">
        <v>46105</v>
      </c>
      <c r="B54" s="7" t="n">
        <v>51</v>
      </c>
      <c r="C54" s="8">
        <f>B54*320</f>
        <v/>
      </c>
      <c r="D54" s="9" t="n"/>
      <c r="E54" s="3" t="n"/>
      <c r="F54" s="3" t="n"/>
      <c r="G54" s="3" t="n"/>
      <c r="H54" s="3" t="n"/>
      <c r="I54" s="3" t="n"/>
      <c r="J54" s="21">
        <f>IF(OR(B54="",H54=""),"",B54-H54)</f>
        <v/>
      </c>
      <c r="K54" s="21">
        <f>IF(OR(C54="",I54=""),"",C54-I54)</f>
        <v/>
      </c>
    </row>
    <row r="55">
      <c r="A55" s="6" t="n">
        <v>46106</v>
      </c>
      <c r="B55" s="7" t="n">
        <v>47</v>
      </c>
      <c r="C55" s="8">
        <f>B55*320</f>
        <v/>
      </c>
      <c r="D55" s="9" t="n"/>
      <c r="E55" s="3" t="n"/>
      <c r="F55" s="3" t="n"/>
      <c r="G55" s="3" t="n"/>
      <c r="H55" s="3" t="n"/>
      <c r="I55" s="3" t="n"/>
      <c r="J55" s="21">
        <f>IF(OR(B55="",H55=""),"",B55-H55)</f>
        <v/>
      </c>
      <c r="K55" s="21">
        <f>IF(OR(C55="",I55=""),"",C55-I55)</f>
        <v/>
      </c>
    </row>
    <row r="56">
      <c r="A56" s="6" t="n">
        <v>46107</v>
      </c>
      <c r="B56" s="7" t="n">
        <v>48</v>
      </c>
      <c r="C56" s="8">
        <f>B56*320</f>
        <v/>
      </c>
      <c r="D56" s="9" t="n"/>
      <c r="E56" s="3" t="n"/>
      <c r="F56" s="3" t="n"/>
      <c r="G56" s="3" t="n"/>
      <c r="H56" s="3" t="n"/>
      <c r="I56" s="3" t="n"/>
      <c r="J56" s="21">
        <f>IF(OR(B56="",H56=""),"",B56-H56)</f>
        <v/>
      </c>
      <c r="K56" s="21">
        <f>IF(OR(C56="",I56=""),"",C56-I56)</f>
        <v/>
      </c>
    </row>
    <row r="57">
      <c r="A57" s="6" t="n">
        <v>46108</v>
      </c>
      <c r="B57" s="7" t="n">
        <v>49</v>
      </c>
      <c r="C57" s="8">
        <f>B57*320</f>
        <v/>
      </c>
      <c r="D57" s="9" t="n"/>
      <c r="E57" s="3" t="n"/>
      <c r="F57" s="3" t="n"/>
      <c r="G57" s="3" t="n"/>
      <c r="H57" s="3" t="n"/>
      <c r="I57" s="3" t="n"/>
      <c r="J57" s="21">
        <f>IF(OR(B57="",H57=""),"",B57-H57)</f>
        <v/>
      </c>
      <c r="K57" s="21">
        <f>IF(OR(C57="",I57=""),"",C57-I57)</f>
        <v/>
      </c>
    </row>
    <row r="58">
      <c r="A58" s="6" t="n">
        <v>46109</v>
      </c>
      <c r="B58" s="7" t="n">
        <v>51</v>
      </c>
      <c r="C58" s="8">
        <f>B58*320</f>
        <v/>
      </c>
      <c r="D58" s="9" t="n"/>
      <c r="E58" s="3" t="n"/>
      <c r="F58" s="3" t="n"/>
      <c r="G58" s="3" t="n"/>
      <c r="H58" s="3" t="n"/>
      <c r="I58" s="3" t="n"/>
      <c r="J58" s="21">
        <f>IF(OR(B58="",H58=""),"",B58-H58)</f>
        <v/>
      </c>
      <c r="K58" s="21">
        <f>IF(OR(C58="",I58=""),"",C58-I58)</f>
        <v/>
      </c>
    </row>
    <row r="59">
      <c r="A59" s="6" t="n">
        <v>46110</v>
      </c>
      <c r="B59" s="7" t="n">
        <v>39</v>
      </c>
      <c r="C59" s="8">
        <f>B59*320</f>
        <v/>
      </c>
      <c r="D59" s="9" t="inlineStr">
        <is>
          <t>วันอาทิตย์ / พนง.ไม่ทำโอ</t>
        </is>
      </c>
      <c r="E59" s="3" t="n"/>
      <c r="F59" s="3" t="n"/>
      <c r="G59" s="3" t="n"/>
      <c r="H59" s="3" t="n"/>
      <c r="I59" s="3" t="n"/>
      <c r="J59" s="21">
        <f>IF(OR(B59="",H59=""),"",B59-H59)</f>
        <v/>
      </c>
      <c r="K59" s="21">
        <f>IF(OR(C59="",I59=""),"",C59-I59)</f>
        <v/>
      </c>
    </row>
    <row r="60">
      <c r="A60" s="6" t="n">
        <v>46111</v>
      </c>
      <c r="B60" s="7" t="n">
        <v>55</v>
      </c>
      <c r="C60" s="8">
        <f>B60*320</f>
        <v/>
      </c>
      <c r="D60" s="9" t="n"/>
      <c r="E60" s="3" t="n"/>
      <c r="F60" s="3" t="n"/>
      <c r="G60" s="3" t="n"/>
      <c r="H60" s="3" t="n"/>
      <c r="I60" s="3" t="n"/>
      <c r="J60" s="21">
        <f>IF(OR(B60="",H60=""),"",B60-H60)</f>
        <v/>
      </c>
      <c r="K60" s="21">
        <f>IF(OR(C60="",I60=""),"",C60-I60)</f>
        <v/>
      </c>
    </row>
    <row r="61">
      <c r="A61" s="6" t="n">
        <v>46112</v>
      </c>
      <c r="B61" s="7" t="n">
        <v>54</v>
      </c>
      <c r="C61" s="8">
        <f>B61*320</f>
        <v/>
      </c>
      <c r="D61" s="9" t="n"/>
      <c r="E61" s="3" t="n"/>
      <c r="F61" s="3" t="n"/>
      <c r="G61" s="3" t="n"/>
      <c r="H61" s="3" t="n"/>
      <c r="I61" s="3" t="n"/>
      <c r="J61" s="21">
        <f>IF(OR(B61="",H61=""),"",B61-H61)</f>
        <v/>
      </c>
      <c r="K61" s="21">
        <f>IF(OR(C61="",I61=""),"",C61-I61)</f>
        <v/>
      </c>
    </row>
    <row r="62">
      <c r="A62" s="6" t="n">
        <v>46113</v>
      </c>
      <c r="B62" s="7" t="n">
        <v>53</v>
      </c>
      <c r="C62" s="8">
        <f>B62*320</f>
        <v/>
      </c>
      <c r="D62" s="9" t="n"/>
      <c r="E62" s="3" t="n"/>
      <c r="F62" s="3" t="n"/>
      <c r="G62" s="3" t="n"/>
      <c r="H62" s="3" t="n"/>
      <c r="I62" s="3" t="n"/>
      <c r="J62" s="21">
        <f>IF(OR(B62="",H62=""),"",B62-H62)</f>
        <v/>
      </c>
      <c r="K62" s="21">
        <f>IF(OR(C62="",I62=""),"",C62-I62)</f>
        <v/>
      </c>
    </row>
    <row r="63">
      <c r="A63" s="6" t="n">
        <v>46114</v>
      </c>
      <c r="B63" s="7" t="n">
        <v>52</v>
      </c>
      <c r="C63" s="8">
        <f>B63*320</f>
        <v/>
      </c>
      <c r="D63" s="9" t="n"/>
      <c r="E63" s="3" t="n"/>
      <c r="F63" s="3" t="n"/>
      <c r="G63" s="3" t="n"/>
      <c r="H63" s="3" t="n"/>
      <c r="I63" s="3" t="n"/>
      <c r="J63" s="21">
        <f>IF(OR(B63="",H63=""),"",B63-H63)</f>
        <v/>
      </c>
      <c r="K63" s="21">
        <f>IF(OR(C63="",I63=""),"",C63-I63)</f>
        <v/>
      </c>
    </row>
    <row r="64">
      <c r="A64" s="6" t="n">
        <v>46115</v>
      </c>
      <c r="B64" s="7" t="n">
        <v>50</v>
      </c>
      <c r="C64" s="8">
        <f>B64*320</f>
        <v/>
      </c>
      <c r="D64" s="9" t="n"/>
      <c r="E64" s="3" t="n"/>
      <c r="F64" s="3" t="n"/>
      <c r="G64" s="3" t="n"/>
      <c r="H64" s="3" t="n"/>
      <c r="I64" s="3" t="n"/>
      <c r="J64" s="21">
        <f>IF(OR(B64="",H64=""),"",B64-H64)</f>
        <v/>
      </c>
      <c r="K64" s="21">
        <f>IF(OR(C64="",I64=""),"",C64-I64)</f>
        <v/>
      </c>
    </row>
    <row r="65">
      <c r="A65" s="6" t="n">
        <v>46116</v>
      </c>
      <c r="B65" s="7" t="n">
        <v>49</v>
      </c>
      <c r="C65" s="8">
        <f>B65*320</f>
        <v/>
      </c>
      <c r="D65" s="9" t="n"/>
      <c r="E65" s="3" t="n"/>
      <c r="F65" s="3" t="n"/>
      <c r="G65" s="3" t="n"/>
      <c r="H65" s="3" t="n"/>
      <c r="I65" s="3" t="n"/>
      <c r="J65" s="21">
        <f>IF(OR(B65="",H65=""),"",B65-H65)</f>
        <v/>
      </c>
      <c r="K65" s="21">
        <f>IF(OR(C65="",I65=""),"",C65-I65)</f>
        <v/>
      </c>
    </row>
    <row r="66">
      <c r="A66" s="6" t="n">
        <v>46117</v>
      </c>
      <c r="B66" s="7" t="n">
        <v>26</v>
      </c>
      <c r="C66" s="8">
        <f>B66*320</f>
        <v/>
      </c>
      <c r="D66" s="9" t="inlineStr">
        <is>
          <t>วันอาทิตย์</t>
        </is>
      </c>
      <c r="E66" s="3" t="n"/>
      <c r="F66" s="3" t="n"/>
      <c r="G66" s="3" t="n"/>
      <c r="H66" s="3" t="n"/>
      <c r="I66" s="3" t="n"/>
      <c r="J66" s="21">
        <f>IF(OR(B66="",H66=""),"",B66-H66)</f>
        <v/>
      </c>
      <c r="K66" s="21">
        <f>IF(OR(C66="",I66=""),"",C66-I66)</f>
        <v/>
      </c>
    </row>
    <row r="67">
      <c r="A67" s="6" t="n">
        <v>46118</v>
      </c>
      <c r="B67" s="7" t="n">
        <v>53</v>
      </c>
      <c r="C67" s="8">
        <f>B67*320</f>
        <v/>
      </c>
      <c r="D67" s="9" t="n"/>
      <c r="E67" s="3" t="n"/>
      <c r="F67" s="3" t="n"/>
      <c r="G67" s="3" t="n"/>
      <c r="H67" s="3" t="n"/>
      <c r="I67" s="3" t="n"/>
      <c r="J67" s="21">
        <f>IF(OR(B67="",H67=""),"",B67-H67)</f>
        <v/>
      </c>
      <c r="K67" s="21">
        <f>IF(OR(C67="",I67=""),"",C67-I67)</f>
        <v/>
      </c>
    </row>
    <row r="68">
      <c r="A68" s="6" t="n">
        <v>46119</v>
      </c>
      <c r="B68" s="7" t="n">
        <v>51</v>
      </c>
      <c r="C68" s="8">
        <f>B68*320</f>
        <v/>
      </c>
      <c r="D68" s="9" t="n"/>
      <c r="E68" s="3" t="n"/>
      <c r="F68" s="3" t="n"/>
      <c r="G68" s="3" t="n"/>
      <c r="H68" s="3" t="n"/>
      <c r="I68" s="3" t="n"/>
      <c r="J68" s="21">
        <f>IF(OR(B68="",H68=""),"",B68-H68)</f>
        <v/>
      </c>
      <c r="K68" s="21">
        <f>IF(OR(C68="",I68=""),"",C68-I68)</f>
        <v/>
      </c>
    </row>
    <row r="69">
      <c r="A69" s="6" t="n">
        <v>46120</v>
      </c>
      <c r="B69" s="7" t="n">
        <v>49</v>
      </c>
      <c r="C69" s="8">
        <f>B69*320</f>
        <v/>
      </c>
      <c r="D69" s="9" t="n"/>
      <c r="E69" s="3" t="n"/>
      <c r="F69" s="3" t="n"/>
      <c r="G69" s="3" t="n"/>
      <c r="H69" s="3" t="n"/>
      <c r="I69" s="3" t="n"/>
      <c r="J69" s="21">
        <f>IF(OR(B69="",H69=""),"",B69-H69)</f>
        <v/>
      </c>
      <c r="K69" s="21">
        <f>IF(OR(C69="",I69=""),"",C69-I69)</f>
        <v/>
      </c>
    </row>
    <row r="70">
      <c r="A70" s="6" t="n">
        <v>46121</v>
      </c>
      <c r="B70" s="7" t="n">
        <v>51</v>
      </c>
      <c r="C70" s="8">
        <f>B70*320</f>
        <v/>
      </c>
      <c r="D70" s="9" t="n"/>
      <c r="E70" s="3" t="n"/>
      <c r="F70" s="3" t="n"/>
      <c r="G70" s="3" t="n"/>
      <c r="H70" s="3" t="n"/>
      <c r="I70" s="3" t="n"/>
      <c r="J70" s="21">
        <f>IF(OR(B70="",H70=""),"",B70-H70)</f>
        <v/>
      </c>
      <c r="K70" s="21">
        <f>IF(OR(C70="",I70=""),"",C70-I70)</f>
        <v/>
      </c>
    </row>
    <row r="71">
      <c r="A71" s="6" t="n">
        <v>46122</v>
      </c>
      <c r="B71" s="7" t="n">
        <v>50</v>
      </c>
      <c r="C71" s="8">
        <f>B71*320</f>
        <v/>
      </c>
      <c r="D71" s="9" t="n"/>
      <c r="E71" s="3" t="n"/>
      <c r="F71" s="3" t="n"/>
      <c r="G71" s="3" t="n"/>
      <c r="H71" s="3" t="n"/>
      <c r="I71" s="3" t="n"/>
      <c r="J71" s="21">
        <f>IF(OR(B71="",H71=""),"",B71-H71)</f>
        <v/>
      </c>
      <c r="K71" s="21">
        <f>IF(OR(C71="",I71=""),"",C71-I71)</f>
        <v/>
      </c>
    </row>
    <row r="72">
      <c r="A72" s="6" t="n">
        <v>46123</v>
      </c>
      <c r="B72" s="7" t="n">
        <v>49</v>
      </c>
      <c r="C72" s="8">
        <f>B72*320</f>
        <v/>
      </c>
      <c r="D72" s="9" t="n"/>
      <c r="E72" s="3" t="n"/>
      <c r="F72" s="3" t="n"/>
      <c r="G72" s="3" t="n"/>
      <c r="H72" s="3" t="n"/>
      <c r="I72" s="3" t="n"/>
      <c r="J72" s="21">
        <f>IF(OR(B72="",H72=""),"",B72-H72)</f>
        <v/>
      </c>
      <c r="K72" s="21">
        <f>IF(OR(C72="",I72=""),"",C72-I72)</f>
        <v/>
      </c>
    </row>
    <row r="73">
      <c r="A73" s="6" t="n">
        <v>46124</v>
      </c>
      <c r="B73" s="7" t="n">
        <v>64</v>
      </c>
      <c r="C73" s="8">
        <f>B73*320</f>
        <v/>
      </c>
      <c r="D73" s="9" t="inlineStr">
        <is>
          <t>วันอาทิตย์รถบริษัทไม่ทำ OT</t>
        </is>
      </c>
      <c r="E73" s="3" t="n"/>
      <c r="F73" s="3" t="n"/>
      <c r="G73" s="3" t="n"/>
      <c r="H73" s="3" t="n"/>
      <c r="I73" s="3" t="n"/>
      <c r="J73" s="21">
        <f>IF(OR(B73="",H73=""),"",B73-H73)</f>
        <v/>
      </c>
      <c r="K73" s="21">
        <f>IF(OR(C73="",I73=""),"",C73-I73)</f>
        <v/>
      </c>
    </row>
    <row r="74">
      <c r="A74" s="6" t="n">
        <v>46125</v>
      </c>
      <c r="B74" s="7" t="n">
        <v>58</v>
      </c>
      <c r="C74" s="8">
        <f>B74*320</f>
        <v/>
      </c>
      <c r="D74" s="9" t="inlineStr">
        <is>
          <t>วันหยุดสงกรานต์รถบริษัทเหลือ2</t>
        </is>
      </c>
      <c r="E74" s="3" t="n"/>
      <c r="F74" s="3" t="n"/>
      <c r="G74" s="3" t="n"/>
      <c r="H74" s="3" t="n"/>
      <c r="I74" s="3" t="n"/>
      <c r="J74" s="21">
        <f>IF(OR(B74="",H74=""),"",B74-H74)</f>
        <v/>
      </c>
      <c r="K74" s="21">
        <f>IF(OR(C74="",I74=""),"",C74-I74)</f>
        <v/>
      </c>
    </row>
    <row r="75">
      <c r="A75" s="6" t="n">
        <v>46126</v>
      </c>
      <c r="B75" s="7" t="n">
        <v>55</v>
      </c>
      <c r="C75" s="8">
        <f>B75*320</f>
        <v/>
      </c>
      <c r="D75" s="9" t="inlineStr">
        <is>
          <t>วันหยุดสงกรานต์รถบริษัทเหลือ2</t>
        </is>
      </c>
      <c r="E75" s="3" t="n"/>
      <c r="F75" s="3" t="n"/>
      <c r="G75" s="3" t="n"/>
      <c r="H75" s="3" t="n"/>
      <c r="I75" s="3" t="n"/>
      <c r="J75" s="21">
        <f>IF(OR(B75="",H75=""),"",B75-H75)</f>
        <v/>
      </c>
      <c r="K75" s="21">
        <f>IF(OR(C75="",I75=""),"",C75-I75)</f>
        <v/>
      </c>
    </row>
    <row r="76">
      <c r="A76" s="6" t="n">
        <v>46127</v>
      </c>
      <c r="B76" s="7" t="n">
        <v>59</v>
      </c>
      <c r="C76" s="8">
        <f>B76*320</f>
        <v/>
      </c>
      <c r="D76" s="9" t="inlineStr">
        <is>
          <t>พนักงานบริษัทลา 1 เหลือ 2</t>
        </is>
      </c>
      <c r="E76" s="3" t="n"/>
      <c r="F76" s="3" t="n"/>
      <c r="G76" s="3" t="n"/>
      <c r="H76" s="3" t="n"/>
      <c r="I76" s="3" t="n"/>
      <c r="J76" s="21">
        <f>IF(OR(B76="",H76=""),"",B76-H76)</f>
        <v/>
      </c>
      <c r="K76" s="21">
        <f>IF(OR(C76="",I76=""),"",C76-I76)</f>
        <v/>
      </c>
    </row>
    <row r="77">
      <c r="A77" s="6" t="n">
        <v>46128</v>
      </c>
      <c r="B77" s="7" t="n">
        <v>59</v>
      </c>
      <c r="C77" s="8">
        <f>B77*320</f>
        <v/>
      </c>
      <c r="D77" s="9" t="inlineStr">
        <is>
          <t>พนักงานบริษัทลา 1 คน</t>
        </is>
      </c>
      <c r="E77" s="3" t="n"/>
      <c r="F77" s="3" t="n"/>
      <c r="G77" s="3" t="n"/>
      <c r="H77" s="3" t="n"/>
      <c r="I77" s="3" t="n"/>
      <c r="J77" s="21">
        <f>IF(OR(B77="",H77=""),"",B77-H77)</f>
        <v/>
      </c>
      <c r="K77" s="21">
        <f>IF(OR(C77="",I77=""),"",C77-I77)</f>
        <v/>
      </c>
    </row>
    <row r="78">
      <c r="A78" s="6" t="n">
        <v>46129</v>
      </c>
      <c r="B78" s="7" t="n">
        <v>55</v>
      </c>
      <c r="C78" s="8">
        <f>B78*320</f>
        <v/>
      </c>
      <c r="D78" s="9" t="n"/>
      <c r="E78" s="3" t="n"/>
      <c r="F78" s="3" t="n"/>
      <c r="G78" s="3" t="n"/>
      <c r="H78" s="3" t="n"/>
      <c r="I78" s="3" t="n"/>
      <c r="J78" s="21">
        <f>IF(OR(B78="",H78=""),"",B78-H78)</f>
        <v/>
      </c>
      <c r="K78" s="21">
        <f>IF(OR(C78="",I78=""),"",C78-I78)</f>
        <v/>
      </c>
    </row>
    <row r="79">
      <c r="A79" s="6" t="n">
        <v>46130</v>
      </c>
      <c r="B79" s="7" t="n">
        <v>56</v>
      </c>
      <c r="C79" s="8">
        <f>B79*320</f>
        <v/>
      </c>
      <c r="D79" s="9" t="n"/>
      <c r="E79" s="3" t="n"/>
      <c r="F79" s="3" t="n"/>
      <c r="G79" s="3" t="n"/>
      <c r="H79" s="3" t="n"/>
      <c r="I79" s="3" t="n"/>
      <c r="J79" s="21">
        <f>IF(OR(B79="",H79=""),"",B79-H79)</f>
        <v/>
      </c>
      <c r="K79" s="21">
        <f>IF(OR(C79="",I79=""),"",C79-I79)</f>
        <v/>
      </c>
    </row>
    <row r="80">
      <c r="A80" s="6" t="n">
        <v>46131</v>
      </c>
      <c r="B80" s="7" t="n">
        <v>49</v>
      </c>
      <c r="C80" s="8">
        <f>B80*320</f>
        <v/>
      </c>
      <c r="D80" s="9" t="inlineStr">
        <is>
          <t>วันอาทิตย์</t>
        </is>
      </c>
      <c r="E80" s="3" t="n"/>
      <c r="F80" s="3" t="n"/>
      <c r="G80" s="3" t="n"/>
      <c r="H80" s="3" t="n"/>
      <c r="I80" s="3" t="n"/>
      <c r="J80" s="21">
        <f>IF(OR(B80="",H80=""),"",B80-H80)</f>
        <v/>
      </c>
      <c r="K80" s="21">
        <f>IF(OR(C80="",I80=""),"",C80-I80)</f>
        <v/>
      </c>
    </row>
    <row r="81">
      <c r="A81" s="6" t="n">
        <v>46132</v>
      </c>
      <c r="B81" s="7" t="n">
        <v>57</v>
      </c>
      <c r="C81" s="8">
        <f>B81*320</f>
        <v/>
      </c>
      <c r="D81" s="9" t="inlineStr">
        <is>
          <t>พนักงานรับเงินสด</t>
        </is>
      </c>
      <c r="E81" s="3" t="n"/>
      <c r="F81" s="3" t="n"/>
      <c r="G81" s="3" t="n"/>
      <c r="H81" s="3" t="n"/>
      <c r="I81" s="3" t="n"/>
      <c r="J81" s="21">
        <f>IF(OR(B81="",H81=""),"",B81-H81)</f>
        <v/>
      </c>
      <c r="K81" s="21">
        <f>IF(OR(C81="",I81=""),"",C81-I81)</f>
        <v/>
      </c>
    </row>
    <row r="82">
      <c r="A82" s="6" t="n">
        <v>46133</v>
      </c>
      <c r="B82" s="7" t="n">
        <v>54</v>
      </c>
      <c r="C82" s="8">
        <f>B82*320</f>
        <v/>
      </c>
      <c r="D82" s="9" t="n"/>
      <c r="E82" s="3" t="n"/>
      <c r="F82" s="3" t="n"/>
      <c r="G82" s="3" t="n"/>
      <c r="H82" s="3" t="n"/>
      <c r="I82" s="3" t="n"/>
      <c r="J82" s="21">
        <f>IF(OR(B82="",H82=""),"",B82-H82)</f>
        <v/>
      </c>
      <c r="K82" s="21">
        <f>IF(OR(C82="",I82=""),"",C82-I82)</f>
        <v/>
      </c>
    </row>
    <row r="83">
      <c r="A83" s="6" t="n">
        <v>46134</v>
      </c>
      <c r="B83" s="7" t="n">
        <v>53</v>
      </c>
      <c r="C83" s="8">
        <f>B83*320</f>
        <v/>
      </c>
      <c r="D83" s="9" t="n"/>
      <c r="E83" s="3" t="n"/>
      <c r="F83" s="3" t="n"/>
      <c r="G83" s="3" t="n"/>
      <c r="H83" s="3" t="n"/>
      <c r="I83" s="3" t="n"/>
      <c r="J83" s="21">
        <f>IF(OR(B83="",H83=""),"",B83-H83)</f>
        <v/>
      </c>
      <c r="K83" s="21">
        <f>IF(OR(C83="",I83=""),"",C83-I83)</f>
        <v/>
      </c>
    </row>
    <row r="84">
      <c r="A84" s="6" t="n">
        <v>46135</v>
      </c>
      <c r="B84" s="7" t="n">
        <v>54</v>
      </c>
      <c r="C84" s="8">
        <f>B84*320</f>
        <v/>
      </c>
      <c r="D84" s="9" t="n"/>
      <c r="E84" s="3" t="n"/>
      <c r="F84" s="3" t="n"/>
      <c r="G84" s="3" t="n"/>
      <c r="H84" s="3" t="n"/>
      <c r="I84" s="3" t="n"/>
      <c r="J84" s="21">
        <f>IF(OR(B84="",H84=""),"",B84-H84)</f>
        <v/>
      </c>
      <c r="K84" s="21">
        <f>IF(OR(C84="",I84=""),"",C84-I84)</f>
        <v/>
      </c>
    </row>
    <row r="85">
      <c r="A85" s="6" t="n">
        <v>46136</v>
      </c>
      <c r="B85" s="7" t="n">
        <v>55</v>
      </c>
      <c r="C85" s="8">
        <f>B85*320</f>
        <v/>
      </c>
      <c r="D85" s="9" t="n"/>
      <c r="E85" s="3" t="n"/>
      <c r="F85" s="3" t="n"/>
      <c r="G85" s="3" t="n"/>
      <c r="H85" s="3" t="n"/>
      <c r="I85" s="3" t="n"/>
      <c r="J85" s="21">
        <f>IF(OR(B85="",H85=""),"",B85-H85)</f>
        <v/>
      </c>
      <c r="K85" s="21">
        <f>IF(OR(C85="",I85=""),"",C85-I85)</f>
        <v/>
      </c>
    </row>
    <row r="86">
      <c r="A86" s="6" t="n">
        <v>46137</v>
      </c>
      <c r="B86" s="7" t="n">
        <v>53</v>
      </c>
      <c r="C86" s="8">
        <f>B86*320</f>
        <v/>
      </c>
      <c r="D86" s="9" t="n"/>
      <c r="E86" s="3" t="n"/>
      <c r="F86" s="3" t="n"/>
      <c r="G86" s="3" t="n"/>
      <c r="H86" s="3" t="n"/>
      <c r="I86" s="3" t="n"/>
      <c r="J86" s="21">
        <f>IF(OR(B86="",H86=""),"",B86-H86)</f>
        <v/>
      </c>
      <c r="K86" s="21">
        <f>IF(OR(C86="",I86=""),"",C86-I86)</f>
        <v/>
      </c>
    </row>
    <row r="87">
      <c r="A87" s="6" t="n">
        <v>46138</v>
      </c>
      <c r="B87" s="7" t="n">
        <v>19</v>
      </c>
      <c r="C87" s="8">
        <f>B87*320</f>
        <v/>
      </c>
      <c r="D87" s="9" t="inlineStr">
        <is>
          <t>วันอาทิตย์</t>
        </is>
      </c>
      <c r="E87" s="3" t="n"/>
      <c r="F87" s="3" t="n"/>
      <c r="G87" s="3" t="n"/>
      <c r="H87" s="3" t="n"/>
      <c r="I87" s="3" t="n"/>
      <c r="J87" s="21">
        <f>IF(OR(B87="",H87=""),"",B87-H87)</f>
        <v/>
      </c>
      <c r="K87" s="21">
        <f>IF(OR(C87="",I87=""),"",C87-I87)</f>
        <v/>
      </c>
    </row>
    <row r="88">
      <c r="A88" s="6" t="n">
        <v>46139</v>
      </c>
      <c r="B88" s="7" t="n">
        <v>53</v>
      </c>
      <c r="C88" s="8">
        <f>B88*320</f>
        <v/>
      </c>
      <c r="D88" s="9" t="n"/>
      <c r="E88" s="3" t="n"/>
      <c r="F88" s="3" t="n"/>
      <c r="G88" s="3" t="n"/>
      <c r="H88" s="3" t="n"/>
      <c r="I88" s="3" t="n"/>
      <c r="J88" s="21">
        <f>IF(OR(B88="",H88=""),"",B88-H88)</f>
        <v/>
      </c>
      <c r="K88" s="21">
        <f>IF(OR(C88="",I88=""),"",C88-I88)</f>
        <v/>
      </c>
    </row>
    <row r="89">
      <c r="A89" s="6" t="n">
        <v>46140</v>
      </c>
      <c r="B89" s="7" t="n">
        <v>53</v>
      </c>
      <c r="C89" s="8">
        <f>B89*320</f>
        <v/>
      </c>
      <c r="D89" s="9" t="n"/>
      <c r="E89" s="3" t="n"/>
      <c r="F89" s="3" t="n"/>
      <c r="G89" s="3" t="n"/>
      <c r="H89" s="3" t="n"/>
      <c r="I89" s="3" t="n"/>
      <c r="J89" s="21">
        <f>IF(OR(B89="",H89=""),"",B89-H89)</f>
        <v/>
      </c>
      <c r="K89" s="21">
        <f>IF(OR(C89="",I89=""),"",C89-I89)</f>
        <v/>
      </c>
    </row>
    <row r="90">
      <c r="A90" s="6" t="n">
        <v>46141</v>
      </c>
      <c r="B90" s="7" t="n">
        <v>49</v>
      </c>
      <c r="C90" s="8">
        <f>B90*320</f>
        <v/>
      </c>
      <c r="D90" s="9" t="n"/>
      <c r="E90" s="3" t="n"/>
      <c r="F90" s="3" t="n"/>
      <c r="G90" s="3" t="n"/>
      <c r="H90" s="3" t="n"/>
      <c r="I90" s="3" t="n"/>
      <c r="J90" s="21">
        <f>IF(OR(B90="",H90=""),"",B90-H90)</f>
        <v/>
      </c>
      <c r="K90" s="21">
        <f>IF(OR(C90="",I90=""),"",C90-I90)</f>
        <v/>
      </c>
    </row>
    <row r="91">
      <c r="A91" s="6" t="n">
        <v>46142</v>
      </c>
      <c r="B91" s="7" t="n">
        <v>47</v>
      </c>
      <c r="C91" s="8">
        <f>B91*320</f>
        <v/>
      </c>
      <c r="D91" s="9" t="n"/>
      <c r="E91" s="3" t="n"/>
      <c r="F91" s="3" t="n"/>
      <c r="G91" s="3" t="n"/>
      <c r="H91" s="3" t="n"/>
      <c r="I91" s="3" t="n"/>
      <c r="J91" s="21">
        <f>IF(OR(B91="",H91=""),"",B91-H91)</f>
        <v/>
      </c>
      <c r="K91" s="21">
        <f>IF(OR(C91="",I91=""),"",C91-I91)</f>
        <v/>
      </c>
    </row>
    <row r="92">
      <c r="A92" s="6" t="n">
        <v>46143</v>
      </c>
      <c r="B92" s="7" t="n">
        <v>47</v>
      </c>
      <c r="C92" s="8">
        <f>B92*320</f>
        <v/>
      </c>
      <c r="D92" s="9" t="n"/>
      <c r="E92" s="3" t="n"/>
      <c r="F92" s="3" t="n"/>
      <c r="G92" s="3" t="n"/>
      <c r="H92" s="3" t="n"/>
      <c r="I92" s="3" t="n"/>
      <c r="J92" s="21">
        <f>IF(OR(B92="",H92=""),"",B92-H92)</f>
        <v/>
      </c>
      <c r="K92" s="21">
        <f>IF(OR(C92="",I92=""),"",C92-I92)</f>
        <v/>
      </c>
    </row>
    <row r="93">
      <c r="A93" s="6" t="n">
        <v>46144</v>
      </c>
      <c r="B93" s="7" t="n">
        <v>39</v>
      </c>
      <c r="C93" s="8">
        <f>B93*320</f>
        <v/>
      </c>
      <c r="D93" s="9" t="n"/>
      <c r="E93" s="3" t="n"/>
      <c r="F93" s="3" t="n"/>
      <c r="G93" s="3" t="n"/>
      <c r="H93" s="3" t="n"/>
      <c r="I93" s="3" t="n"/>
      <c r="J93" s="21">
        <f>IF(OR(B93="",H93=""),"",B93-H93)</f>
        <v/>
      </c>
      <c r="K93" s="21">
        <f>IF(OR(C93="",I93=""),"",C93-I93)</f>
        <v/>
      </c>
    </row>
    <row r="94">
      <c r="A94" s="6" t="n">
        <v>46145</v>
      </c>
      <c r="B94" s="7" t="n">
        <v>36</v>
      </c>
      <c r="C94" s="8">
        <f>B94*320</f>
        <v/>
      </c>
      <c r="D94" s="9" t="inlineStr">
        <is>
          <t>วันอาทิตย์</t>
        </is>
      </c>
      <c r="E94" s="3" t="n"/>
      <c r="F94" s="3" t="n"/>
      <c r="G94" s="3" t="n"/>
      <c r="H94" s="3" t="n"/>
      <c r="I94" s="3" t="n"/>
      <c r="J94" s="21">
        <f>IF(OR(B94="",H94=""),"",B94-H94)</f>
        <v/>
      </c>
      <c r="K94" s="21">
        <f>IF(OR(C94="",I94=""),"",C94-I94)</f>
        <v/>
      </c>
    </row>
    <row r="95">
      <c r="A95" s="6" t="n">
        <v>46146</v>
      </c>
      <c r="B95" s="7" t="n">
        <v>51</v>
      </c>
      <c r="C95" s="8">
        <f>B95*320</f>
        <v/>
      </c>
      <c r="D95" s="9" t="n"/>
      <c r="E95" s="3" t="n"/>
      <c r="F95" s="3" t="n"/>
      <c r="G95" s="3" t="n"/>
      <c r="H95" s="3" t="n"/>
      <c r="I95" s="3" t="n"/>
      <c r="J95" s="21">
        <f>IF(OR(B95="",H95=""),"",B95-H95)</f>
        <v/>
      </c>
      <c r="K95" s="21">
        <f>IF(OR(C95="",I95=""),"",C95-I95)</f>
        <v/>
      </c>
    </row>
    <row r="96">
      <c r="A96" s="6" t="n">
        <v>46147</v>
      </c>
      <c r="B96" s="7" t="n">
        <v>52</v>
      </c>
      <c r="C96" s="8">
        <f>B96*320</f>
        <v/>
      </c>
      <c r="D96" s="9" t="n"/>
      <c r="E96" s="3" t="n"/>
      <c r="F96" s="3" t="n"/>
      <c r="G96" s="3" t="n"/>
      <c r="H96" s="3" t="n"/>
      <c r="I96" s="3" t="n"/>
      <c r="J96" s="21">
        <f>IF(OR(B96="",H96=""),"",B96-H96)</f>
        <v/>
      </c>
      <c r="K96" s="21">
        <f>IF(OR(C96="",I96=""),"",C96-I96)</f>
        <v/>
      </c>
    </row>
    <row r="97">
      <c r="A97" s="6" t="n">
        <v>46148</v>
      </c>
      <c r="B97" s="7" t="n">
        <v>51</v>
      </c>
      <c r="C97" s="8">
        <f>B97*320</f>
        <v/>
      </c>
      <c r="D97" s="9" t="n"/>
      <c r="E97" s="3" t="n"/>
      <c r="F97" s="3" t="n"/>
      <c r="G97" s="3" t="n"/>
      <c r="H97" s="3" t="n"/>
      <c r="I97" s="3" t="n"/>
      <c r="J97" s="21">
        <f>IF(OR(B97="",H97=""),"",B97-H97)</f>
        <v/>
      </c>
      <c r="K97" s="21">
        <f>IF(OR(C97="",I97=""),"",C97-I97)</f>
        <v/>
      </c>
    </row>
    <row r="98">
      <c r="A98" s="6" t="n">
        <v>46149</v>
      </c>
      <c r="B98" s="7" t="n">
        <v>57</v>
      </c>
      <c r="C98" s="8">
        <f>B98*320</f>
        <v/>
      </c>
      <c r="D98" s="9" t="n"/>
      <c r="E98" s="3" t="n"/>
      <c r="F98" s="3" t="n"/>
      <c r="G98" s="3" t="n"/>
      <c r="H98" s="3" t="n"/>
      <c r="I98" s="3" t="n"/>
      <c r="J98" s="21">
        <f>IF(OR(B98="",H98=""),"",B98-H98)</f>
        <v/>
      </c>
      <c r="K98" s="21">
        <f>IF(OR(C98="",I98=""),"",C98-I98)</f>
        <v/>
      </c>
    </row>
    <row r="99">
      <c r="A99" s="6" t="n">
        <v>46150</v>
      </c>
      <c r="B99" s="7" t="n">
        <v>58</v>
      </c>
      <c r="C99" s="8">
        <f>B99*320</f>
        <v/>
      </c>
      <c r="D99" s="9" t="n"/>
      <c r="E99" s="3" t="n"/>
      <c r="F99" s="3" t="n"/>
      <c r="G99" s="3" t="n"/>
      <c r="H99" s="3" t="n"/>
      <c r="I99" s="3" t="n"/>
      <c r="J99" s="21">
        <f>IF(OR(B99="",H99=""),"",B99-H99)</f>
        <v/>
      </c>
      <c r="K99" s="21">
        <f>IF(OR(C99="",I99=""),"",C99-I99)</f>
        <v/>
      </c>
    </row>
    <row r="100">
      <c r="A100" s="6" t="n">
        <v>46151</v>
      </c>
      <c r="B100" s="7" t="n">
        <v>54</v>
      </c>
      <c r="C100" s="8">
        <f>B100*320</f>
        <v/>
      </c>
      <c r="D100" s="9" t="n"/>
      <c r="E100" s="3" t="n"/>
      <c r="F100" s="3" t="n"/>
      <c r="G100" s="3" t="n"/>
      <c r="H100" s="3" t="n"/>
      <c r="I100" s="3" t="n"/>
      <c r="J100" s="21">
        <f>IF(OR(B100="",H100=""),"",B100-H100)</f>
        <v/>
      </c>
      <c r="K100" s="21">
        <f>IF(OR(C100="",I100=""),"",C100-I100)</f>
        <v/>
      </c>
    </row>
    <row r="101">
      <c r="A101" s="6" t="n">
        <v>46152</v>
      </c>
      <c r="B101" s="7" t="n">
        <v>30</v>
      </c>
      <c r="C101" s="8">
        <f>B101*320</f>
        <v/>
      </c>
      <c r="D101" s="9" t="inlineStr">
        <is>
          <t>วันอาทิตย์</t>
        </is>
      </c>
      <c r="E101" s="3" t="n"/>
      <c r="F101" s="3" t="n"/>
      <c r="G101" s="3" t="n"/>
      <c r="H101" s="3" t="n"/>
      <c r="I101" s="3" t="n"/>
      <c r="J101" s="21">
        <f>IF(OR(B101="",H101=""),"",B101-H101)</f>
        <v/>
      </c>
      <c r="K101" s="21">
        <f>IF(OR(C101="",I101=""),"",C101-I101)</f>
        <v/>
      </c>
    </row>
    <row r="102">
      <c r="A102" s="6" t="n">
        <v>46153</v>
      </c>
      <c r="B102" s="7" t="n">
        <v>50</v>
      </c>
      <c r="C102" s="8">
        <f>B102*320</f>
        <v/>
      </c>
      <c r="D102" s="9" t="n"/>
      <c r="E102" s="3" t="n"/>
      <c r="F102" s="3" t="n"/>
      <c r="G102" s="3" t="n"/>
      <c r="H102" s="3" t="n"/>
      <c r="I102" s="3" t="n"/>
      <c r="J102" s="21">
        <f>IF(OR(B102="",H102=""),"",B102-H102)</f>
        <v/>
      </c>
      <c r="K102" s="21">
        <f>IF(OR(C102="",I102=""),"",C102-I102)</f>
        <v/>
      </c>
    </row>
    <row r="103">
      <c r="A103" s="6" t="n">
        <v>46154</v>
      </c>
      <c r="B103" s="7" t="n">
        <v>54</v>
      </c>
      <c r="C103" s="8">
        <f>B103*320</f>
        <v/>
      </c>
      <c r="D103" s="9" t="n"/>
      <c r="E103" s="3" t="n"/>
      <c r="F103" s="3" t="n"/>
      <c r="G103" s="3" t="n"/>
      <c r="H103" s="3" t="n"/>
      <c r="I103" s="3" t="n"/>
      <c r="J103" s="21">
        <f>IF(OR(B103="",H103=""),"",B103-H103)</f>
        <v/>
      </c>
      <c r="K103" s="21">
        <f>IF(OR(C103="",I103=""),"",C103-I103)</f>
        <v/>
      </c>
    </row>
    <row r="104">
      <c r="A104" s="6" t="n">
        <v>46155</v>
      </c>
      <c r="B104" s="7" t="n">
        <v>55</v>
      </c>
      <c r="C104" s="8">
        <f>B104*320</f>
        <v/>
      </c>
      <c r="D104" s="9" t="n"/>
      <c r="E104" s="3" t="n"/>
      <c r="F104" s="3" t="n"/>
      <c r="G104" s="3" t="n"/>
      <c r="H104" s="3" t="n"/>
      <c r="I104" s="3" t="n"/>
      <c r="J104" s="21">
        <f>IF(OR(B104="",H104=""),"",B104-H104)</f>
        <v/>
      </c>
      <c r="K104" s="21">
        <f>IF(OR(C104="",I104=""),"",C104-I104)</f>
        <v/>
      </c>
    </row>
    <row r="105">
      <c r="A105" s="6" t="n">
        <v>46156</v>
      </c>
      <c r="B105" s="7" t="n">
        <v>51</v>
      </c>
      <c r="C105" s="8">
        <f>B105*320</f>
        <v/>
      </c>
      <c r="D105" s="9" t="n"/>
      <c r="E105" s="3" t="n"/>
      <c r="F105" s="3" t="n"/>
      <c r="G105" s="3" t="n"/>
      <c r="H105" s="3" t="n"/>
      <c r="I105" s="3" t="n"/>
      <c r="J105" s="21">
        <f>IF(OR(B105="",H105=""),"",B105-H105)</f>
        <v/>
      </c>
      <c r="K105" s="21">
        <f>IF(OR(C105="",I105=""),"",C105-I105)</f>
        <v/>
      </c>
    </row>
    <row r="106">
      <c r="A106" s="6" t="n">
        <v>46157</v>
      </c>
      <c r="B106" s="7" t="n">
        <v>29</v>
      </c>
      <c r="C106" s="8">
        <f>B106*320</f>
        <v/>
      </c>
      <c r="D106" s="9" t="n"/>
      <c r="E106" s="3" t="n"/>
      <c r="F106" s="3" t="n"/>
      <c r="G106" s="3" t="n"/>
      <c r="H106" s="3" t="n"/>
      <c r="I106" s="3" t="n"/>
      <c r="J106" s="21">
        <f>IF(OR(B106="",H106=""),"",B106-H106)</f>
        <v/>
      </c>
      <c r="K106" s="21">
        <f>IF(OR(C106="",I106=""),"",C106-I106)</f>
        <v/>
      </c>
    </row>
    <row r="107">
      <c r="A107" s="6" t="n">
        <v>46158</v>
      </c>
      <c r="B107" s="7" t="n">
        <v>51</v>
      </c>
      <c r="C107" s="8">
        <f>B107*320</f>
        <v/>
      </c>
      <c r="D107" s="9" t="n"/>
      <c r="E107" s="3" t="n"/>
      <c r="F107" s="3" t="n"/>
      <c r="G107" s="3" t="n"/>
      <c r="H107" s="3" t="n"/>
      <c r="I107" s="3" t="n"/>
      <c r="J107" s="21">
        <f>IF(OR(B107="",H107=""),"",B107-H107)</f>
        <v/>
      </c>
      <c r="K107" s="21">
        <f>IF(OR(C107="",I107=""),"",C107-I107)</f>
        <v/>
      </c>
    </row>
    <row r="108">
      <c r="A108" s="6" t="n">
        <v>46159</v>
      </c>
      <c r="B108" s="7" t="n">
        <v>34</v>
      </c>
      <c r="C108" s="8">
        <f>B108*320</f>
        <v/>
      </c>
      <c r="D108" s="9" t="inlineStr">
        <is>
          <t>วันอาทิตย์</t>
        </is>
      </c>
      <c r="E108" s="3" t="n"/>
      <c r="F108" s="3" t="n"/>
      <c r="G108" s="3" t="n"/>
      <c r="H108" s="3" t="n"/>
      <c r="I108" s="3" t="n"/>
      <c r="J108" s="21">
        <f>IF(OR(B108="",H108=""),"",B108-H108)</f>
        <v/>
      </c>
      <c r="K108" s="21">
        <f>IF(OR(C108="",I108=""),"",C108-I108)</f>
        <v/>
      </c>
    </row>
    <row r="109">
      <c r="A109" s="6" t="n">
        <v>46160</v>
      </c>
      <c r="B109" s="7" t="n">
        <v>53</v>
      </c>
      <c r="C109" s="8">
        <f>B109*320</f>
        <v/>
      </c>
      <c r="D109" s="9" t="n"/>
      <c r="E109" s="3" t="n"/>
      <c r="F109" s="3" t="n"/>
      <c r="G109" s="3" t="n"/>
      <c r="H109" s="3" t="n"/>
      <c r="I109" s="3" t="n"/>
      <c r="J109" s="21">
        <f>IF(OR(B109="",H109=""),"",B109-H109)</f>
        <v/>
      </c>
      <c r="K109" s="21">
        <f>IF(OR(C109="",I109=""),"",C109-I109)</f>
        <v/>
      </c>
    </row>
    <row r="110">
      <c r="A110" s="6" t="n">
        <v>46161</v>
      </c>
      <c r="B110" s="7" t="n">
        <v>53</v>
      </c>
      <c r="C110" s="8">
        <f>B110*320</f>
        <v/>
      </c>
      <c r="D110" s="9" t="n"/>
      <c r="E110" s="3" t="n"/>
      <c r="F110" s="3" t="n"/>
      <c r="G110" s="3" t="n"/>
      <c r="H110" s="3" t="n"/>
      <c r="I110" s="3" t="n"/>
      <c r="J110" s="21">
        <f>IF(OR(B110="",H110=""),"",B110-H110)</f>
        <v/>
      </c>
      <c r="K110" s="21">
        <f>IF(OR(C110="",I110=""),"",C110-I110)</f>
        <v/>
      </c>
    </row>
    <row r="111">
      <c r="A111" s="6" t="n">
        <v>46162</v>
      </c>
      <c r="B111" s="7" t="n">
        <v>52</v>
      </c>
      <c r="C111" s="8">
        <f>B111*320</f>
        <v/>
      </c>
      <c r="D111" s="9" t="n"/>
      <c r="E111" s="3" t="n"/>
      <c r="F111" s="3" t="n"/>
      <c r="G111" s="3" t="n"/>
      <c r="H111" s="3" t="n"/>
      <c r="I111" s="3" t="n"/>
      <c r="J111" s="21">
        <f>IF(OR(B111="",H111=""),"",B111-H111)</f>
        <v/>
      </c>
      <c r="K111" s="21">
        <f>IF(OR(C111="",I111=""),"",C111-I111)</f>
        <v/>
      </c>
    </row>
    <row r="112">
      <c r="A112" s="6" t="n">
        <v>46163</v>
      </c>
      <c r="B112" s="7" t="n">
        <v>50</v>
      </c>
      <c r="C112" s="8">
        <f>B112*320</f>
        <v/>
      </c>
      <c r="D112" s="9" t="n"/>
      <c r="E112" s="3" t="n"/>
      <c r="F112" s="3" t="n"/>
      <c r="G112" s="3" t="n"/>
      <c r="H112" s="3" t="n"/>
      <c r="I112" s="3" t="n"/>
      <c r="J112" s="21">
        <f>IF(OR(B112="",H112=""),"",B112-H112)</f>
        <v/>
      </c>
      <c r="K112" s="21">
        <f>IF(OR(C112="",I112=""),"",C112-I112)</f>
        <v/>
      </c>
    </row>
    <row r="113">
      <c r="A113" s="6" t="n">
        <v>46164</v>
      </c>
      <c r="B113" s="7" t="n">
        <v>51</v>
      </c>
      <c r="C113" s="8">
        <f>B113*320</f>
        <v/>
      </c>
      <c r="D113" s="9" t="n"/>
      <c r="E113" s="3" t="n"/>
      <c r="F113" s="3" t="n"/>
      <c r="G113" s="3" t="n"/>
      <c r="H113" s="3" t="n"/>
      <c r="I113" s="3" t="n"/>
      <c r="J113" s="21">
        <f>IF(OR(B113="",H113=""),"",B113-H113)</f>
        <v/>
      </c>
      <c r="K113" s="21">
        <f>IF(OR(C113="",I113=""),"",C113-I113)</f>
        <v/>
      </c>
    </row>
    <row r="114">
      <c r="A114" s="6" t="n">
        <v>46165</v>
      </c>
      <c r="B114" s="7" t="n">
        <v>49</v>
      </c>
      <c r="C114" s="8">
        <f>B114*320</f>
        <v/>
      </c>
      <c r="D114" s="9" t="n"/>
      <c r="E114" s="3" t="n"/>
      <c r="F114" s="3" t="n"/>
      <c r="G114" s="3" t="n"/>
      <c r="H114" s="3" t="n"/>
      <c r="I114" s="3" t="n"/>
      <c r="J114" s="21">
        <f>IF(OR(B114="",H114=""),"",B114-H114)</f>
        <v/>
      </c>
      <c r="K114" s="21">
        <f>IF(OR(C114="",I114=""),"",C114-I114)</f>
        <v/>
      </c>
    </row>
    <row r="115">
      <c r="A115" s="6" t="n">
        <v>46166</v>
      </c>
      <c r="B115" s="7" t="n">
        <v>24</v>
      </c>
      <c r="C115" s="8">
        <f>B115*320</f>
        <v/>
      </c>
      <c r="D115" s="9" t="inlineStr">
        <is>
          <t>วันอาทิตย์</t>
        </is>
      </c>
      <c r="E115" s="3" t="n"/>
      <c r="F115" s="3" t="n"/>
      <c r="G115" s="3" t="n"/>
      <c r="H115" s="3" t="n"/>
      <c r="I115" s="3" t="n"/>
      <c r="J115" s="21">
        <f>IF(OR(B115="",H115=""),"",B115-H115)</f>
        <v/>
      </c>
      <c r="K115" s="21">
        <f>IF(OR(C115="",I115=""),"",C115-I115)</f>
        <v/>
      </c>
    </row>
    <row r="116">
      <c r="A116" s="6" t="n">
        <v>46167</v>
      </c>
      <c r="B116" s="7" t="n">
        <v>55</v>
      </c>
      <c r="C116" s="8">
        <f>B116*320</f>
        <v/>
      </c>
      <c r="D116" s="9" t="n"/>
      <c r="E116" s="3" t="n"/>
      <c r="F116" s="3" t="n"/>
      <c r="G116" s="3" t="n"/>
      <c r="H116" s="3" t="n"/>
      <c r="I116" s="3" t="n"/>
      <c r="J116" s="21">
        <f>IF(OR(B116="",H116=""),"",B116-H116)</f>
        <v/>
      </c>
      <c r="K116" s="21">
        <f>IF(OR(C116="",I116=""),"",C116-I116)</f>
        <v/>
      </c>
    </row>
    <row r="117">
      <c r="A117" s="6" t="n">
        <v>46168</v>
      </c>
      <c r="B117" s="7" t="n">
        <v>53</v>
      </c>
      <c r="C117" s="8">
        <f>B117*320</f>
        <v/>
      </c>
      <c r="D117" s="9" t="n"/>
      <c r="E117" s="3" t="n"/>
      <c r="F117" s="3" t="n"/>
      <c r="G117" s="3" t="n"/>
      <c r="H117" s="3" t="n"/>
      <c r="I117" s="3" t="n"/>
      <c r="J117" s="21">
        <f>IF(OR(B117="",H117=""),"",B117-H117)</f>
        <v/>
      </c>
      <c r="K117" s="21">
        <f>IF(OR(C117="",I117=""),"",C117-I117)</f>
        <v/>
      </c>
    </row>
    <row r="118">
      <c r="A118" s="6" t="n">
        <v>46169</v>
      </c>
      <c r="B118" s="7" t="n">
        <v>50</v>
      </c>
      <c r="C118" s="8">
        <f>B118*320</f>
        <v/>
      </c>
      <c r="D118" s="9" t="n"/>
      <c r="E118" s="3" t="n"/>
      <c r="F118" s="3" t="n"/>
      <c r="G118" s="3" t="n"/>
      <c r="H118" s="3" t="n"/>
      <c r="I118" s="3" t="n"/>
      <c r="J118" s="21">
        <f>IF(OR(B118="",H118=""),"",B118-H118)</f>
        <v/>
      </c>
      <c r="K118" s="21">
        <f>IF(OR(C118="",I118=""),"",C118-I118)</f>
        <v/>
      </c>
    </row>
    <row r="119">
      <c r="A119" s="6" t="n">
        <v>46170</v>
      </c>
      <c r="B119" s="7" t="n">
        <v>50</v>
      </c>
      <c r="C119" s="8">
        <f>B119*320</f>
        <v/>
      </c>
      <c r="D119" s="9" t="n"/>
      <c r="E119" s="3" t="n"/>
      <c r="F119" s="3" t="n"/>
      <c r="G119" s="3" t="n"/>
      <c r="H119" s="3" t="n"/>
      <c r="I119" s="3" t="n"/>
      <c r="J119" s="21">
        <f>IF(OR(B119="",H119=""),"",B119-H119)</f>
        <v/>
      </c>
      <c r="K119" s="21">
        <f>IF(OR(C119="",I119=""),"",C119-I119)</f>
        <v/>
      </c>
    </row>
    <row r="120">
      <c r="A120" s="6" t="n">
        <v>46171</v>
      </c>
      <c r="B120" s="7" t="n">
        <v>50</v>
      </c>
      <c r="C120" s="8">
        <f>B120*320</f>
        <v/>
      </c>
      <c r="D120" s="9" t="n"/>
      <c r="E120" s="3" t="n"/>
      <c r="F120" s="3" t="n"/>
      <c r="G120" s="3" t="n"/>
      <c r="H120" s="3" t="n"/>
      <c r="I120" s="3" t="n"/>
      <c r="J120" s="21">
        <f>IF(OR(B120="",H120=""),"",B120-H120)</f>
        <v/>
      </c>
      <c r="K120" s="21">
        <f>IF(OR(C120="",I120=""),"",C120-I120)</f>
        <v/>
      </c>
    </row>
    <row r="121">
      <c r="A121" s="6" t="n">
        <v>46172</v>
      </c>
      <c r="B121" s="7" t="n">
        <v>54</v>
      </c>
      <c r="C121" s="8">
        <f>B121*320</f>
        <v/>
      </c>
      <c r="D121" s="9" t="n"/>
      <c r="E121" s="3" t="n"/>
      <c r="F121" s="3" t="n"/>
      <c r="G121" s="3" t="n"/>
      <c r="H121" s="3" t="n"/>
      <c r="I121" s="3" t="n"/>
      <c r="J121" s="21">
        <f>IF(OR(B121="",H121=""),"",B121-H121)</f>
        <v/>
      </c>
      <c r="K121" s="21">
        <f>IF(OR(C121="",I121=""),"",C121-I121)</f>
        <v/>
      </c>
    </row>
    <row r="122">
      <c r="A122" s="6" t="n">
        <v>46173</v>
      </c>
      <c r="B122" s="7" t="n">
        <v>20</v>
      </c>
      <c r="C122" s="8">
        <f>B122*320</f>
        <v/>
      </c>
      <c r="D122" s="9" t="n"/>
      <c r="E122" s="3" t="n"/>
      <c r="F122" s="3" t="n"/>
      <c r="G122" s="3" t="n"/>
      <c r="H122" s="3" t="n"/>
      <c r="I122" s="3" t="n"/>
      <c r="J122" s="21">
        <f>IF(OR(B122="",H122=""),"",B122-H122)</f>
        <v/>
      </c>
      <c r="K122" s="21">
        <f>IF(OR(C122="",I122=""),"",C122-I122)</f>
        <v/>
      </c>
    </row>
    <row r="123">
      <c r="A123" s="6" t="n">
        <v>46174</v>
      </c>
      <c r="B123" s="7" t="n">
        <v>56</v>
      </c>
      <c r="C123" s="8">
        <f>B123*320</f>
        <v/>
      </c>
      <c r="D123" s="9" t="n"/>
      <c r="E123" s="3" t="n"/>
      <c r="F123" s="3" t="n"/>
      <c r="G123" s="3" t="n"/>
      <c r="H123" s="3" t="n"/>
      <c r="I123" s="3" t="n"/>
      <c r="J123" s="21">
        <f>IF(OR(B123="",H123=""),"",B123-H123)</f>
        <v/>
      </c>
      <c r="K123" s="21">
        <f>IF(OR(C123="",I123=""),"",C123-I123)</f>
        <v/>
      </c>
    </row>
    <row r="124">
      <c r="A124" s="6" t="n">
        <v>46175</v>
      </c>
      <c r="B124" s="7" t="n">
        <v>49</v>
      </c>
      <c r="C124" s="8">
        <f>B124*320</f>
        <v/>
      </c>
      <c r="D124" s="9" t="n"/>
      <c r="E124" s="3" t="n"/>
      <c r="F124" s="3" t="n"/>
      <c r="G124" s="3" t="n"/>
      <c r="H124" s="3" t="n"/>
      <c r="I124" s="3" t="n"/>
      <c r="J124" s="21">
        <f>IF(OR(B124="",H124=""),"",B124-H124)</f>
        <v/>
      </c>
      <c r="K124" s="21">
        <f>IF(OR(C124="",I124=""),"",C124-I124)</f>
        <v/>
      </c>
    </row>
    <row r="125">
      <c r="A125" s="6" t="n">
        <v>46176</v>
      </c>
      <c r="B125" s="7" t="n">
        <v>49</v>
      </c>
      <c r="C125" s="8">
        <f>B125*320</f>
        <v/>
      </c>
      <c r="D125" s="9" t="n"/>
      <c r="E125" s="3" t="n"/>
      <c r="F125" s="3" t="n"/>
      <c r="G125" s="3" t="n"/>
      <c r="H125" s="3" t="n"/>
      <c r="I125" s="3" t="n"/>
      <c r="J125" s="21">
        <f>IF(OR(B125="",H125=""),"",B125-H125)</f>
        <v/>
      </c>
      <c r="K125" s="21">
        <f>IF(OR(C125="",I125=""),"",C125-I125)</f>
        <v/>
      </c>
    </row>
    <row r="126">
      <c r="A126" s="6" t="n">
        <v>46177</v>
      </c>
      <c r="B126" s="7" t="n">
        <v>51</v>
      </c>
      <c r="C126" s="8">
        <f>B126*320</f>
        <v/>
      </c>
      <c r="D126" s="9" t="n"/>
      <c r="E126" s="3" t="n"/>
      <c r="F126" s="3" t="n"/>
      <c r="G126" s="3" t="n"/>
      <c r="H126" s="3" t="n"/>
      <c r="I126" s="3" t="n"/>
      <c r="J126" s="21">
        <f>IF(OR(B126="",H126=""),"",B126-H126)</f>
        <v/>
      </c>
      <c r="K126" s="21">
        <f>IF(OR(C126="",I126=""),"",C126-I126)</f>
        <v/>
      </c>
    </row>
    <row r="127">
      <c r="A127" s="6" t="n">
        <v>46178</v>
      </c>
      <c r="B127" s="7" t="n">
        <v>52</v>
      </c>
      <c r="C127" s="8">
        <f>B127*320</f>
        <v/>
      </c>
      <c r="D127" s="9" t="n"/>
      <c r="E127" s="3" t="n"/>
      <c r="F127" s="3" t="n"/>
      <c r="G127" s="3" t="n"/>
      <c r="H127" s="3" t="n"/>
      <c r="I127" s="3" t="n"/>
      <c r="J127" s="21">
        <f>IF(OR(B127="",H127=""),"",B127-H127)</f>
        <v/>
      </c>
      <c r="K127" s="21">
        <f>IF(OR(C127="",I127=""),"",C127-I127)</f>
        <v/>
      </c>
    </row>
    <row r="128">
      <c r="A128" s="6" t="n">
        <v>46179</v>
      </c>
      <c r="B128" s="7" t="n">
        <v>48</v>
      </c>
      <c r="C128" s="8">
        <f>B128*320</f>
        <v/>
      </c>
      <c r="D128" s="9" t="n"/>
      <c r="E128" s="3" t="n"/>
      <c r="F128" s="3" t="n"/>
      <c r="G128" s="3" t="n"/>
      <c r="H128" s="3" t="n"/>
      <c r="I128" s="3" t="n"/>
      <c r="J128" s="21">
        <f>IF(OR(B128="",H128=""),"",B128-H128)</f>
        <v/>
      </c>
      <c r="K128" s="21">
        <f>IF(OR(C128="",I128=""),"",C128-I128)</f>
        <v/>
      </c>
    </row>
    <row r="129">
      <c r="A129" s="6" t="n">
        <v>46180</v>
      </c>
      <c r="B129" s="7" t="n">
        <v>18</v>
      </c>
      <c r="C129" s="8">
        <f>B129*320</f>
        <v/>
      </c>
      <c r="D129" s="9" t="inlineStr">
        <is>
          <t>วันอาทิตย์</t>
        </is>
      </c>
      <c r="E129" s="3" t="n"/>
      <c r="F129" s="3" t="n"/>
      <c r="G129" s="3" t="n"/>
      <c r="H129" s="3" t="n"/>
      <c r="I129" s="3" t="n"/>
      <c r="J129" s="21">
        <f>IF(OR(B129="",H129=""),"",B129-H129)</f>
        <v/>
      </c>
      <c r="K129" s="21">
        <f>IF(OR(C129="",I129=""),"",C129-I129)</f>
        <v/>
      </c>
    </row>
    <row r="130">
      <c r="A130" s="6" t="n">
        <v>46181</v>
      </c>
      <c r="B130" s="7" t="n">
        <v>55</v>
      </c>
      <c r="C130" s="8">
        <f>B130*320</f>
        <v/>
      </c>
      <c r="D130" s="9" t="n"/>
      <c r="E130" s="3" t="n"/>
      <c r="F130" s="3" t="n"/>
      <c r="G130" s="3" t="n"/>
      <c r="H130" s="3" t="n"/>
      <c r="I130" s="3" t="n"/>
      <c r="J130" s="21">
        <f>IF(OR(B130="",H130=""),"",B130-H130)</f>
        <v/>
      </c>
      <c r="K130" s="21">
        <f>IF(OR(C130="",I130=""),"",C130-I130)</f>
        <v/>
      </c>
    </row>
    <row r="131">
      <c r="A131" s="6" t="n">
        <v>46182</v>
      </c>
      <c r="B131" s="7" t="n">
        <v>54</v>
      </c>
      <c r="C131" s="8">
        <f>B131*320</f>
        <v/>
      </c>
      <c r="D131" s="9" t="n"/>
      <c r="E131" s="3" t="n"/>
      <c r="F131" s="3" t="n"/>
      <c r="G131" s="3" t="n"/>
      <c r="H131" s="3" t="n"/>
      <c r="I131" s="3" t="n"/>
      <c r="J131" s="21">
        <f>IF(OR(B131="",H131=""),"",B131-H131)</f>
        <v/>
      </c>
      <c r="K131" s="21">
        <f>IF(OR(C131="",I131=""),"",C131-I131)</f>
        <v/>
      </c>
    </row>
    <row r="132">
      <c r="A132" s="6" t="n">
        <v>46183</v>
      </c>
      <c r="B132" s="7" t="n">
        <v>52</v>
      </c>
      <c r="C132" s="8">
        <f>B132*320</f>
        <v/>
      </c>
      <c r="D132" s="9" t="n"/>
      <c r="E132" s="3" t="n"/>
      <c r="F132" s="3" t="n"/>
      <c r="G132" s="3" t="n"/>
      <c r="H132" s="3" t="n"/>
      <c r="I132" s="3" t="n"/>
      <c r="J132" s="21">
        <f>IF(OR(B132="",H132=""),"",B132-H132)</f>
        <v/>
      </c>
      <c r="K132" s="21">
        <f>IF(OR(C132="",I132=""),"",C132-I132)</f>
        <v/>
      </c>
    </row>
    <row r="133">
      <c r="A133" s="6" t="n">
        <v>46184</v>
      </c>
      <c r="B133" s="7" t="n">
        <v>51</v>
      </c>
      <c r="C133" s="8">
        <f>B133*320</f>
        <v/>
      </c>
      <c r="D133" s="9" t="n"/>
      <c r="E133" s="3" t="n"/>
      <c r="F133" s="3" t="n"/>
      <c r="G133" s="3" t="n"/>
      <c r="H133" s="3" t="n"/>
      <c r="I133" s="3" t="n"/>
      <c r="J133" s="21">
        <f>IF(OR(B133="",H133=""),"",B133-H133)</f>
        <v/>
      </c>
      <c r="K133" s="21">
        <f>IF(OR(C133="",I133=""),"",C133-I133)</f>
        <v/>
      </c>
    </row>
    <row r="134">
      <c r="A134" s="6" t="n">
        <v>46185</v>
      </c>
      <c r="B134" s="7" t="n">
        <v>50</v>
      </c>
      <c r="C134" s="8">
        <f>B134*320</f>
        <v/>
      </c>
      <c r="D134" s="9" t="n"/>
      <c r="E134" s="3" t="n"/>
      <c r="F134" s="3" t="n"/>
      <c r="G134" s="3" t="n"/>
      <c r="H134" s="3" t="n"/>
      <c r="I134" s="3" t="n"/>
      <c r="J134" s="21">
        <f>IF(OR(B134="",H134=""),"",B134-H134)</f>
        <v/>
      </c>
      <c r="K134" s="21">
        <f>IF(OR(C134="",I134=""),"",C134-I134)</f>
        <v/>
      </c>
    </row>
    <row r="135">
      <c r="A135" s="6" t="n">
        <v>46186</v>
      </c>
      <c r="B135" s="7" t="n">
        <v>49</v>
      </c>
      <c r="C135" s="8">
        <f>B135*320</f>
        <v/>
      </c>
      <c r="D135" s="9" t="n"/>
      <c r="E135" s="3" t="n"/>
      <c r="F135" s="3" t="n"/>
      <c r="G135" s="3" t="n"/>
      <c r="H135" s="3" t="n"/>
      <c r="I135" s="3" t="n"/>
      <c r="J135" s="21">
        <f>IF(OR(B135="",H135=""),"",B135-H135)</f>
        <v/>
      </c>
      <c r="K135" s="21">
        <f>IF(OR(C135="",I135=""),"",C135-I135)</f>
        <v/>
      </c>
    </row>
    <row r="136">
      <c r="A136" s="6" t="n">
        <v>46187</v>
      </c>
      <c r="B136" s="7" t="n">
        <v>21</v>
      </c>
      <c r="C136" s="8">
        <f>B136*320</f>
        <v/>
      </c>
      <c r="D136" s="9" t="inlineStr">
        <is>
          <t>วันอาทิตย์</t>
        </is>
      </c>
      <c r="E136" s="3" t="n"/>
      <c r="F136" s="3" t="n"/>
      <c r="G136" s="3" t="n"/>
      <c r="H136" s="3" t="n"/>
      <c r="I136" s="3" t="n"/>
      <c r="J136" s="21">
        <f>IF(OR(B136="",H136=""),"",B136-H136)</f>
        <v/>
      </c>
      <c r="K136" s="21">
        <f>IF(OR(C136="",I136=""),"",C136-I136)</f>
        <v/>
      </c>
    </row>
    <row r="137">
      <c r="A137" s="6" t="n">
        <v>46188</v>
      </c>
      <c r="B137" s="7" t="n">
        <v>51</v>
      </c>
      <c r="C137" s="8">
        <f>B137*320</f>
        <v/>
      </c>
      <c r="D137" s="9" t="n"/>
      <c r="E137" s="3" t="n"/>
      <c r="F137" s="3" t="n"/>
      <c r="G137" s="3" t="n"/>
      <c r="H137" s="3" t="n"/>
      <c r="I137" s="3" t="n"/>
      <c r="J137" s="21">
        <f>IF(OR(B137="",H137=""),"",B137-H137)</f>
        <v/>
      </c>
      <c r="K137" s="21">
        <f>IF(OR(C137="",I137=""),"",C137-I137)</f>
        <v/>
      </c>
    </row>
    <row r="138">
      <c r="A138" s="6" t="n">
        <v>46189</v>
      </c>
      <c r="B138" s="7" t="n">
        <v>54</v>
      </c>
      <c r="C138" s="8">
        <f>B138*320</f>
        <v/>
      </c>
      <c r="D138" s="9" t="n"/>
      <c r="E138" s="3" t="n"/>
      <c r="F138" s="3" t="n"/>
      <c r="G138" s="3" t="n"/>
      <c r="H138" s="3" t="n"/>
      <c r="I138" s="3" t="n"/>
      <c r="J138" s="21">
        <f>IF(OR(B138="",H138=""),"",B138-H138)</f>
        <v/>
      </c>
      <c r="K138" s="21">
        <f>IF(OR(C138="",I138=""),"",C138-I138)</f>
        <v/>
      </c>
    </row>
    <row r="139">
      <c r="A139" s="6" t="n">
        <v>46190</v>
      </c>
      <c r="B139" s="7" t="n">
        <v>50</v>
      </c>
      <c r="C139" s="8">
        <f>B139*320</f>
        <v/>
      </c>
      <c r="D139" s="9" t="n"/>
      <c r="E139" s="3" t="n"/>
      <c r="F139" s="3" t="n"/>
      <c r="G139" s="3" t="n"/>
      <c r="H139" s="3" t="n"/>
      <c r="I139" s="3" t="n"/>
      <c r="J139" s="21">
        <f>IF(OR(B139="",H139=""),"",B139-H139)</f>
        <v/>
      </c>
      <c r="K139" s="21">
        <f>IF(OR(C139="",I139=""),"",C139-I139)</f>
        <v/>
      </c>
    </row>
    <row r="140">
      <c r="A140" s="6" t="n">
        <v>46191</v>
      </c>
      <c r="B140" s="7" t="n">
        <v>54</v>
      </c>
      <c r="C140" s="8">
        <f>B140*320</f>
        <v/>
      </c>
      <c r="D140" s="9" t="n"/>
      <c r="E140" s="3" t="n"/>
      <c r="F140" s="3" t="n"/>
      <c r="G140" s="3" t="n"/>
      <c r="H140" s="3" t="n"/>
      <c r="I140" s="3" t="n"/>
      <c r="J140" s="21">
        <f>IF(OR(B140="",H140=""),"",B140-H140)</f>
        <v/>
      </c>
      <c r="K140" s="21">
        <f>IF(OR(C140="",I140=""),"",C140-I140)</f>
        <v/>
      </c>
    </row>
    <row r="141">
      <c r="A141" s="6" t="n">
        <v>46192</v>
      </c>
      <c r="B141" s="7" t="n">
        <v>53</v>
      </c>
      <c r="C141" s="8">
        <f>B141*320</f>
        <v/>
      </c>
      <c r="D141" s="9" t="n"/>
      <c r="E141" s="3" t="n"/>
      <c r="F141" s="3" t="n"/>
      <c r="G141" s="3" t="n"/>
      <c r="H141" s="3" t="n"/>
      <c r="I141" s="3" t="n"/>
      <c r="J141" s="21">
        <f>IF(OR(B141="",H141=""),"",B141-H141)</f>
        <v/>
      </c>
      <c r="K141" s="21">
        <f>IF(OR(C141="",I141=""),"",C141-I141)</f>
        <v/>
      </c>
    </row>
    <row r="142">
      <c r="A142" s="6" t="n">
        <v>46193</v>
      </c>
      <c r="B142" s="7" t="n">
        <v>50</v>
      </c>
      <c r="C142" s="8">
        <f>B142*320</f>
        <v/>
      </c>
      <c r="D142" s="9" t="n"/>
      <c r="E142" s="3" t="n"/>
      <c r="F142" s="3" t="n"/>
      <c r="G142" s="3" t="n"/>
      <c r="H142" s="3" t="n"/>
      <c r="I142" s="3" t="n"/>
      <c r="J142" s="21">
        <f>IF(OR(B142="",H142=""),"",B142-H142)</f>
        <v/>
      </c>
      <c r="K142" s="21">
        <f>IF(OR(C142="",I142=""),"",C142-I142)</f>
        <v/>
      </c>
    </row>
    <row r="143">
      <c r="A143" s="6" t="n">
        <v>46194</v>
      </c>
      <c r="B143" s="7" t="n">
        <v>22</v>
      </c>
      <c r="C143" s="8">
        <f>B143*320</f>
        <v/>
      </c>
      <c r="D143" s="9" t="inlineStr">
        <is>
          <t>วันอาทิตย์</t>
        </is>
      </c>
      <c r="E143" s="3" t="n"/>
      <c r="F143" s="3" t="n"/>
      <c r="G143" s="3" t="n"/>
      <c r="H143" s="3" t="n"/>
      <c r="I143" s="3" t="n"/>
      <c r="J143" s="21">
        <f>IF(OR(B143="",H143=""),"",B143-H143)</f>
        <v/>
      </c>
      <c r="K143" s="21">
        <f>IF(OR(C143="",I143=""),"",C143-I143)</f>
        <v/>
      </c>
    </row>
    <row r="144">
      <c r="A144" s="6" t="n">
        <v>46195</v>
      </c>
      <c r="B144" s="7" t="n">
        <v>50</v>
      </c>
      <c r="C144" s="8">
        <f>B144*320</f>
        <v/>
      </c>
      <c r="D144" s="9" t="n"/>
      <c r="E144" s="3" t="n"/>
      <c r="F144" s="3" t="n"/>
      <c r="G144" s="3" t="n"/>
      <c r="H144" s="3" t="n"/>
      <c r="I144" s="3" t="n"/>
      <c r="J144" s="21">
        <f>IF(OR(B144="",H144=""),"",B144-H144)</f>
        <v/>
      </c>
      <c r="K144" s="21">
        <f>IF(OR(C144="",I144=""),"",C144-I144)</f>
        <v/>
      </c>
    </row>
    <row r="145">
      <c r="A145" s="6" t="n">
        <v>46196</v>
      </c>
      <c r="B145" s="7" t="n">
        <v>56</v>
      </c>
      <c r="C145" s="8">
        <f>B145*320</f>
        <v/>
      </c>
      <c r="D145" s="9" t="n"/>
      <c r="E145" s="3" t="n"/>
      <c r="F145" s="3" t="n"/>
      <c r="G145" s="3" t="n"/>
      <c r="H145" s="3" t="n"/>
      <c r="I145" s="3" t="n"/>
      <c r="J145" s="21">
        <f>IF(OR(B145="",H145=""),"",B145-H145)</f>
        <v/>
      </c>
      <c r="K145" s="21">
        <f>IF(OR(C145="",I145=""),"",C145-I145)</f>
        <v/>
      </c>
    </row>
    <row r="146">
      <c r="A146" s="6" t="n">
        <v>46197</v>
      </c>
      <c r="B146" s="7" t="n">
        <v>53</v>
      </c>
      <c r="C146" s="8">
        <f>B146*320</f>
        <v/>
      </c>
      <c r="D146" s="9" t="n"/>
      <c r="E146" s="3" t="n"/>
      <c r="F146" s="3" t="n"/>
      <c r="G146" s="3" t="n"/>
      <c r="H146" s="3" t="n"/>
      <c r="I146" s="3" t="n"/>
      <c r="J146" s="21">
        <f>IF(OR(B146="",H146=""),"",B146-H146)</f>
        <v/>
      </c>
      <c r="K146" s="21">
        <f>IF(OR(C146="",I146=""),"",C146-I146)</f>
        <v/>
      </c>
    </row>
    <row r="147">
      <c r="A147" s="6" t="n">
        <v>46198</v>
      </c>
      <c r="B147" s="7" t="n">
        <v>54</v>
      </c>
      <c r="C147" s="8">
        <f>B147*320</f>
        <v/>
      </c>
      <c r="D147" s="9" t="n"/>
      <c r="E147" s="3" t="n"/>
      <c r="F147" s="3" t="n"/>
      <c r="G147" s="3" t="n"/>
      <c r="H147" s="3" t="n"/>
      <c r="I147" s="3" t="n"/>
      <c r="J147" s="21">
        <f>IF(OR(B147="",H147=""),"",B147-H147)</f>
        <v/>
      </c>
      <c r="K147" s="21">
        <f>IF(OR(C147="",I147=""),"",C147-I147)</f>
        <v/>
      </c>
    </row>
    <row r="148">
      <c r="A148" s="6" t="n">
        <v>46199</v>
      </c>
      <c r="B148" s="7" t="n">
        <v>57</v>
      </c>
      <c r="C148" s="8">
        <f>B148*320</f>
        <v/>
      </c>
      <c r="D148" s="9" t="n"/>
      <c r="E148" s="3" t="n"/>
      <c r="F148" s="3" t="n"/>
      <c r="G148" s="3" t="n"/>
      <c r="H148" s="3" t="n"/>
      <c r="I148" s="3" t="n"/>
      <c r="J148" s="21">
        <f>IF(OR(B148="",H148=""),"",B148-H148)</f>
        <v/>
      </c>
      <c r="K148" s="21">
        <f>IF(OR(C148="",I148=""),"",C148-I148)</f>
        <v/>
      </c>
    </row>
    <row r="149">
      <c r="A149" s="6" t="n">
        <v>46200</v>
      </c>
      <c r="B149" s="7" t="n">
        <v>52</v>
      </c>
      <c r="C149" s="8">
        <f>B149*320</f>
        <v/>
      </c>
      <c r="D149" s="9" t="n"/>
      <c r="E149" s="3" t="n"/>
      <c r="F149" s="3" t="n"/>
      <c r="G149" s="3" t="n"/>
      <c r="H149" s="3" t="n"/>
      <c r="I149" s="3" t="n"/>
      <c r="J149" s="21">
        <f>IF(OR(B149="",H149=""),"",B149-H149)</f>
        <v/>
      </c>
      <c r="K149" s="21">
        <f>IF(OR(C149="",I149=""),"",C149-I149)</f>
        <v/>
      </c>
    </row>
    <row r="150">
      <c r="A150" s="6" t="n">
        <v>46201</v>
      </c>
      <c r="B150" s="7" t="n">
        <v>31</v>
      </c>
      <c r="C150" s="8">
        <f>B150*320</f>
        <v/>
      </c>
      <c r="D150" s="9" t="inlineStr">
        <is>
          <t>วันอาทิตย์</t>
        </is>
      </c>
      <c r="E150" s="3" t="n"/>
      <c r="F150" s="3" t="n"/>
      <c r="G150" s="3" t="n"/>
      <c r="H150" s="3" t="n"/>
      <c r="I150" s="3" t="n"/>
      <c r="J150" s="21">
        <f>IF(OR(B150="",H150=""),"",B150-H150)</f>
        <v/>
      </c>
      <c r="K150" s="21">
        <f>IF(OR(C150="",I150=""),"",C150-I150)</f>
        <v/>
      </c>
    </row>
    <row r="151">
      <c r="A151" s="6" t="n">
        <v>46202</v>
      </c>
      <c r="B151" s="7" t="n">
        <v>54</v>
      </c>
      <c r="C151" s="8">
        <f>B151*320</f>
        <v/>
      </c>
      <c r="D151" s="9" t="n"/>
      <c r="E151" s="3" t="n"/>
      <c r="F151" s="3" t="n"/>
      <c r="G151" s="3" t="n"/>
      <c r="H151" s="3" t="n"/>
      <c r="I151" s="3" t="n"/>
      <c r="J151" s="21">
        <f>IF(OR(B151="",H151=""),"",B151-H151)</f>
        <v/>
      </c>
      <c r="K151" s="21">
        <f>IF(OR(C151="",I151=""),"",C151-I151)</f>
        <v/>
      </c>
    </row>
    <row r="152">
      <c r="A152" s="6" t="n">
        <v>46203</v>
      </c>
      <c r="B152" s="7" t="n">
        <v>54</v>
      </c>
      <c r="C152" s="8">
        <f>B152*320</f>
        <v/>
      </c>
      <c r="D152" s="9" t="n"/>
      <c r="E152" s="3" t="n"/>
      <c r="F152" s="3" t="n"/>
      <c r="G152" s="3" t="n"/>
      <c r="H152" s="3" t="n"/>
      <c r="I152" s="3" t="n"/>
      <c r="J152" s="21">
        <f>IF(OR(B152="",H152=""),"",B152-H152)</f>
        <v/>
      </c>
      <c r="K152" s="21">
        <f>IF(OR(C152="",I152=""),"",C152-I152)</f>
        <v/>
      </c>
    </row>
    <row r="153">
      <c r="A153" s="6" t="n">
        <v>46204</v>
      </c>
      <c r="B153" s="7" t="n">
        <v>55</v>
      </c>
      <c r="C153" s="8">
        <f>B153*320</f>
        <v/>
      </c>
      <c r="D153" s="9" t="n"/>
      <c r="E153" s="3" t="n"/>
      <c r="F153" s="3" t="n"/>
      <c r="G153" s="3" t="n"/>
      <c r="H153" s="3" t="n"/>
      <c r="I153" s="3" t="n"/>
      <c r="J153" s="21">
        <f>IF(OR(B153="",H153=""),"",B153-H153)</f>
        <v/>
      </c>
      <c r="K153" s="21">
        <f>IF(OR(C153="",I153=""),"",C153-I153)</f>
        <v/>
      </c>
    </row>
    <row r="154">
      <c r="A154" s="6" t="n">
        <v>46205</v>
      </c>
      <c r="B154" s="7" t="n">
        <v>56</v>
      </c>
      <c r="C154" s="8">
        <f>B154*320</f>
        <v/>
      </c>
      <c r="D154" s="9" t="n"/>
      <c r="E154" s="3" t="n"/>
      <c r="F154" s="3" t="n"/>
      <c r="G154" s="3" t="n"/>
      <c r="H154" s="3" t="n"/>
      <c r="I154" s="3" t="n"/>
      <c r="J154" s="21">
        <f>IF(OR(B154="",H154=""),"",B154-H154)</f>
        <v/>
      </c>
      <c r="K154" s="21">
        <f>IF(OR(C154="",I154=""),"",C154-I154)</f>
        <v/>
      </c>
    </row>
    <row r="155">
      <c r="A155" s="6" t="n">
        <v>46206</v>
      </c>
      <c r="B155" s="7" t="n">
        <v>55</v>
      </c>
      <c r="C155" s="8">
        <f>B155*320</f>
        <v/>
      </c>
      <c r="D155" s="9" t="n"/>
      <c r="E155" s="3" t="n"/>
      <c r="F155" s="3" t="n"/>
      <c r="G155" s="3" t="n"/>
      <c r="H155" s="3" t="n"/>
      <c r="I155" s="3" t="n"/>
      <c r="J155" s="21">
        <f>IF(OR(B155="",H155=""),"",B155-H155)</f>
        <v/>
      </c>
      <c r="K155" s="21">
        <f>IF(OR(C155="",I155=""),"",C155-I155)</f>
        <v/>
      </c>
    </row>
    <row r="156">
      <c r="A156" s="6" t="n">
        <v>46207</v>
      </c>
      <c r="B156" s="7" t="n">
        <v>59</v>
      </c>
      <c r="C156" s="8">
        <f>B156*320</f>
        <v/>
      </c>
      <c r="D156" s="9" t="n"/>
      <c r="E156" s="3" t="n"/>
      <c r="F156" s="3" t="n"/>
      <c r="G156" s="3" t="n"/>
      <c r="H156" s="3" t="n"/>
      <c r="I156" s="3" t="n"/>
      <c r="J156" s="21">
        <f>IF(OR(B156="",H156=""),"",B156-H156)</f>
        <v/>
      </c>
      <c r="K156" s="21">
        <f>IF(OR(C156="",I156=""),"",C156-I156)</f>
        <v/>
      </c>
    </row>
    <row r="157">
      <c r="A157" s="6" t="n">
        <v>46208</v>
      </c>
      <c r="B157" s="7" t="n">
        <v>33</v>
      </c>
      <c r="C157" s="8">
        <f>B157*320</f>
        <v/>
      </c>
      <c r="D157" s="9" t="inlineStr">
        <is>
          <t>วันอาทิตย์</t>
        </is>
      </c>
      <c r="E157" s="3" t="n"/>
      <c r="F157" s="3" t="n"/>
      <c r="G157" s="3" t="n"/>
      <c r="H157" s="3" t="n"/>
      <c r="I157" s="3" t="n"/>
      <c r="J157" s="21">
        <f>IF(OR(B157="",H157=""),"",B157-H157)</f>
        <v/>
      </c>
      <c r="K157" s="21">
        <f>IF(OR(C157="",I157=""),"",C157-I157)</f>
        <v/>
      </c>
    </row>
    <row r="158">
      <c r="A158" s="6" t="n">
        <v>46209</v>
      </c>
      <c r="B158" s="7" t="n">
        <v>55</v>
      </c>
      <c r="C158" s="8">
        <f>B158*320</f>
        <v/>
      </c>
      <c r="D158" s="9" t="n"/>
      <c r="E158" s="3" t="n"/>
      <c r="F158" s="3" t="n"/>
      <c r="G158" s="3" t="n"/>
      <c r="H158" s="3" t="n"/>
      <c r="I158" s="3" t="n"/>
      <c r="J158" s="21">
        <f>IF(OR(B158="",H158=""),"",B158-H158)</f>
        <v/>
      </c>
      <c r="K158" s="21">
        <f>IF(OR(C158="",I158=""),"",C158-I158)</f>
        <v/>
      </c>
    </row>
    <row r="159">
      <c r="A159" s="6" t="n">
        <v>46210</v>
      </c>
      <c r="B159" s="7" t="n">
        <v>56</v>
      </c>
      <c r="C159" s="8">
        <f>B159*320</f>
        <v/>
      </c>
      <c r="D159" s="9" t="n"/>
      <c r="E159" s="3" t="n"/>
      <c r="F159" s="3" t="n"/>
      <c r="G159" s="3" t="n"/>
      <c r="H159" s="3" t="n"/>
      <c r="I159" s="3" t="n"/>
      <c r="J159" s="21">
        <f>IF(OR(B159="",H159=""),"",B159-H159)</f>
        <v/>
      </c>
      <c r="K159" s="21">
        <f>IF(OR(C159="",I159=""),"",C159-I159)</f>
        <v/>
      </c>
    </row>
    <row r="160">
      <c r="A160" s="6" t="n">
        <v>46211</v>
      </c>
      <c r="B160" s="7" t="n">
        <v>55</v>
      </c>
      <c r="C160" s="8">
        <f>B160*320</f>
        <v/>
      </c>
      <c r="D160" s="9" t="n"/>
      <c r="E160" s="3" t="n"/>
      <c r="F160" s="3" t="n"/>
      <c r="G160" s="3" t="n"/>
      <c r="H160" s="3" t="n"/>
      <c r="I160" s="3" t="n"/>
      <c r="J160" s="21">
        <f>IF(OR(B160="",H160=""),"",B160-H160)</f>
        <v/>
      </c>
      <c r="K160" s="21">
        <f>IF(OR(C160="",I160=""),"",C160-I160)</f>
        <v/>
      </c>
    </row>
    <row r="161">
      <c r="A161" s="6" t="n">
        <v>46212</v>
      </c>
      <c r="B161" s="7" t="n">
        <v>58</v>
      </c>
      <c r="C161" s="8">
        <f>B161*320</f>
        <v/>
      </c>
      <c r="D161" s="9" t="n"/>
      <c r="E161" s="3" t="n"/>
      <c r="F161" s="3" t="n"/>
      <c r="G161" s="3" t="n"/>
      <c r="H161" s="3" t="n"/>
      <c r="I161" s="3" t="n"/>
      <c r="J161" s="21">
        <f>IF(OR(B161="",H161=""),"",B161-H161)</f>
        <v/>
      </c>
      <c r="K161" s="21">
        <f>IF(OR(C161="",I161=""),"",C161-I161)</f>
        <v/>
      </c>
    </row>
    <row r="162">
      <c r="A162" s="6" t="n">
        <v>46213</v>
      </c>
      <c r="B162" s="7" t="n">
        <v>55</v>
      </c>
      <c r="C162" s="8">
        <f>B162*320</f>
        <v/>
      </c>
      <c r="D162" s="9" t="n"/>
      <c r="E162" s="3" t="n"/>
      <c r="F162" s="3" t="n"/>
      <c r="G162" s="3" t="n"/>
      <c r="H162" s="3" t="n"/>
      <c r="I162" s="3" t="n"/>
      <c r="J162" s="21">
        <f>IF(OR(B162="",H162=""),"",B162-H162)</f>
        <v/>
      </c>
      <c r="K162" s="21">
        <f>IF(OR(C162="",I162=""),"",C162-I162)</f>
        <v/>
      </c>
    </row>
    <row r="163">
      <c r="A163" s="6" t="n">
        <v>46214</v>
      </c>
      <c r="B163" s="7" t="n">
        <v>52</v>
      </c>
      <c r="C163" s="8">
        <f>B163*320</f>
        <v/>
      </c>
      <c r="D163" s="9" t="n"/>
      <c r="E163" s="3" t="n"/>
      <c r="F163" s="3" t="n"/>
      <c r="G163" s="3" t="n"/>
      <c r="H163" s="3" t="n"/>
      <c r="I163" s="3" t="n"/>
      <c r="J163" s="21">
        <f>IF(OR(B163="",H163=""),"",B163-H163)</f>
        <v/>
      </c>
      <c r="K163" s="21">
        <f>IF(OR(C163="",I163=""),"",C163-I163)</f>
        <v/>
      </c>
    </row>
    <row r="164">
      <c r="A164" s="6" t="n">
        <v>46215</v>
      </c>
      <c r="B164" s="7" t="n">
        <v>34</v>
      </c>
      <c r="C164" s="8">
        <f>B164*320</f>
        <v/>
      </c>
      <c r="D164" s="9" t="inlineStr">
        <is>
          <t>วันอาทิตย์</t>
        </is>
      </c>
      <c r="E164" s="3" t="n"/>
      <c r="F164" s="3" t="n"/>
      <c r="G164" s="3" t="n"/>
      <c r="H164" s="3" t="n"/>
      <c r="I164" s="3" t="n"/>
      <c r="J164" s="21">
        <f>IF(OR(B164="",H164=""),"",B164-H164)</f>
        <v/>
      </c>
      <c r="K164" s="21">
        <f>IF(OR(C164="",I164=""),"",C164-I164)</f>
        <v/>
      </c>
    </row>
    <row r="165">
      <c r="A165" s="6" t="n">
        <v>46216</v>
      </c>
      <c r="B165" s="7" t="n">
        <v>58</v>
      </c>
      <c r="C165" s="8">
        <f>B165*320</f>
        <v/>
      </c>
      <c r="D165" s="9" t="n"/>
      <c r="E165" s="3" t="n"/>
      <c r="F165" s="3" t="n"/>
      <c r="G165" s="3" t="n"/>
      <c r="H165" s="3" t="n"/>
      <c r="I165" s="3" t="n"/>
      <c r="J165" s="21">
        <f>IF(OR(B165="",H165=""),"",B165-H165)</f>
        <v/>
      </c>
      <c r="K165" s="21">
        <f>IF(OR(C165="",I165=""),"",C165-I165)</f>
        <v/>
      </c>
    </row>
    <row r="166">
      <c r="A166" s="6" t="n">
        <v>46217</v>
      </c>
      <c r="B166" s="7" t="n">
        <v>56</v>
      </c>
      <c r="C166" s="8">
        <f>B166*320</f>
        <v/>
      </c>
      <c r="D166" s="9" t="n"/>
      <c r="E166" s="3" t="n"/>
      <c r="F166" s="3" t="n"/>
      <c r="G166" s="3" t="n"/>
      <c r="H166" s="3" t="n"/>
      <c r="I166" s="3" t="n"/>
      <c r="J166" s="21">
        <f>IF(OR(B166="",H166=""),"",B166-H166)</f>
        <v/>
      </c>
      <c r="K166" s="21">
        <f>IF(OR(C166="",I166=""),"",C166-I166)</f>
        <v/>
      </c>
    </row>
    <row r="167">
      <c r="A167" s="6" t="n">
        <v>46218</v>
      </c>
      <c r="B167" s="7" t="n">
        <v>57</v>
      </c>
      <c r="C167" s="8">
        <f>B167*320</f>
        <v/>
      </c>
      <c r="D167" s="9" t="n"/>
      <c r="E167" s="3" t="n"/>
      <c r="F167" s="3" t="n"/>
      <c r="G167" s="3" t="n"/>
      <c r="H167" s="3" t="n"/>
      <c r="I167" s="3" t="n"/>
      <c r="J167" s="21">
        <f>IF(OR(B167="",H167=""),"",B167-H167)</f>
        <v/>
      </c>
      <c r="K167" s="21">
        <f>IF(OR(C167="",I167=""),"",C167-I167)</f>
        <v/>
      </c>
    </row>
    <row r="168">
      <c r="A168" s="6" t="n">
        <v>46219</v>
      </c>
      <c r="B168" s="7" t="n">
        <v>54</v>
      </c>
      <c r="C168" s="8">
        <f>B168*320</f>
        <v/>
      </c>
      <c r="D168" s="9" t="inlineStr">
        <is>
          <t>รับพนักงานใหม่ เข้า-ออก</t>
        </is>
      </c>
      <c r="E168" s="3" t="n"/>
      <c r="F168" s="3" t="n"/>
      <c r="G168" s="3" t="n"/>
      <c r="H168" s="3" t="n"/>
      <c r="I168" s="3" t="n"/>
      <c r="J168" s="21">
        <f>IF(OR(B168="",H168=""),"",B168-H168)</f>
        <v/>
      </c>
      <c r="K168" s="21">
        <f>IF(OR(C168="",I168=""),"",C168-I168)</f>
        <v/>
      </c>
    </row>
    <row r="169">
      <c r="A169" s="6" t="n">
        <v>46220</v>
      </c>
      <c r="B169" s="7" t="n">
        <v>55</v>
      </c>
      <c r="C169" s="8">
        <f>B169*320</f>
        <v/>
      </c>
      <c r="D169" s="9" t="n"/>
      <c r="E169" s="3" t="n"/>
      <c r="F169" s="3" t="n"/>
      <c r="G169" s="3" t="n"/>
      <c r="H169" s="3" t="n"/>
      <c r="I169" s="3" t="n"/>
      <c r="J169" s="21">
        <f>IF(OR(B169="",H169=""),"",B169-H169)</f>
        <v/>
      </c>
      <c r="K169" s="21">
        <f>IF(OR(C169="",I169=""),"",C169-I169)</f>
        <v/>
      </c>
    </row>
    <row r="170">
      <c r="A170" s="6" t="n">
        <v>46221</v>
      </c>
      <c r="B170" s="7" t="n">
        <v>58</v>
      </c>
      <c r="C170" s="8">
        <f>B170*320</f>
        <v/>
      </c>
      <c r="D170" s="9" t="inlineStr">
        <is>
          <t>กะดึก ลาไปงานศพ 1 คน</t>
        </is>
      </c>
      <c r="E170" s="3" t="n"/>
      <c r="F170" s="3" t="n"/>
      <c r="G170" s="3" t="n"/>
      <c r="H170" s="3" t="n"/>
      <c r="I170" s="3" t="n"/>
      <c r="J170" s="21">
        <f>IF(OR(B170="",H170=""),"",B170-H170)</f>
        <v/>
      </c>
      <c r="K170" s="21">
        <f>IF(OR(C170="",I170=""),"",C170-I170)</f>
        <v/>
      </c>
    </row>
    <row r="171">
      <c r="A171" s="6" t="n">
        <v>46222</v>
      </c>
      <c r="B171" s="7" t="n">
        <v>35</v>
      </c>
      <c r="C171" s="8">
        <f>B171*320</f>
        <v/>
      </c>
      <c r="D171" s="9" t="inlineStr">
        <is>
          <t>วันอาทิตย์</t>
        </is>
      </c>
      <c r="E171" s="3" t="n"/>
      <c r="F171" s="3" t="n"/>
      <c r="G171" s="3" t="n"/>
      <c r="H171" s="3" t="n"/>
      <c r="I171" s="3" t="n"/>
      <c r="J171" s="21">
        <f>IF(OR(B171="",H171=""),"",B171-H171)</f>
        <v/>
      </c>
      <c r="K171" s="21">
        <f>IF(OR(C171="",I171=""),"",C171-I171)</f>
        <v/>
      </c>
    </row>
    <row r="172">
      <c r="A172" s="6" t="n">
        <v>46223</v>
      </c>
      <c r="B172" s="7" t="n">
        <v>60</v>
      </c>
      <c r="C172" s="8">
        <f>B172*320</f>
        <v/>
      </c>
      <c r="D172" s="9" t="n"/>
      <c r="E172" s="3" t="n"/>
      <c r="F172" s="3" t="n"/>
      <c r="G172" s="3" t="n"/>
      <c r="H172" s="3" t="n"/>
      <c r="I172" s="3" t="n"/>
      <c r="J172" s="21">
        <f>IF(OR(B172="",H172=""),"",B172-H172)</f>
        <v/>
      </c>
      <c r="K172" s="21">
        <f>IF(OR(C172="",I172=""),"",C172-I172)</f>
        <v/>
      </c>
    </row>
    <row r="173">
      <c r="A173" s="6" t="n">
        <v>46224</v>
      </c>
      <c r="B173" s="7" t="n">
        <v>55</v>
      </c>
      <c r="C173" s="8">
        <f>B173*320</f>
        <v/>
      </c>
      <c r="D173" s="9" t="n"/>
      <c r="E173" s="3" t="n"/>
      <c r="F173" s="3" t="n"/>
      <c r="G173" s="3" t="n"/>
      <c r="H173" s="3" t="n"/>
      <c r="I173" s="3" t="n"/>
      <c r="J173" s="21">
        <f>IF(OR(B173="",H173=""),"",B173-H173)</f>
        <v/>
      </c>
      <c r="K173" s="21">
        <f>IF(OR(C173="",I173=""),"",C173-I173)</f>
        <v/>
      </c>
    </row>
    <row r="174">
      <c r="A174" s="6" t="n">
        <v>46225</v>
      </c>
      <c r="B174" s="7" t="n">
        <v>53</v>
      </c>
      <c r="C174" s="8">
        <f>B174*320</f>
        <v/>
      </c>
      <c r="D174" s="9" t="n"/>
      <c r="E174" s="3" t="n"/>
      <c r="F174" s="3" t="n"/>
      <c r="G174" s="3" t="n"/>
      <c r="H174" s="3" t="n"/>
      <c r="I174" s="3" t="n"/>
      <c r="J174" s="21">
        <f>IF(OR(B174="",H174=""),"",B174-H174)</f>
        <v/>
      </c>
      <c r="K174" s="21">
        <f>IF(OR(C174="",I174=""),"",C174-I174)</f>
        <v/>
      </c>
    </row>
    <row r="175">
      <c r="A175" s="6" t="n">
        <v>46226</v>
      </c>
      <c r="B175" s="7" t="n">
        <v>54</v>
      </c>
      <c r="C175" s="8">
        <f>B175*320</f>
        <v/>
      </c>
      <c r="D175" s="9" t="n"/>
      <c r="E175" s="3" t="n"/>
      <c r="F175" s="3" t="n"/>
      <c r="G175" s="3" t="n"/>
      <c r="H175" s="3" t="n"/>
      <c r="I175" s="3" t="n"/>
      <c r="J175" s="21">
        <f>IF(OR(B175="",H175=""),"",B175-H175)</f>
        <v/>
      </c>
      <c r="K175" s="21">
        <f>IF(OR(C175="",I175=""),"",C175-I175)</f>
        <v/>
      </c>
    </row>
    <row r="176">
      <c r="A176" s="6" t="n">
        <v>46227</v>
      </c>
      <c r="B176" s="7" t="n">
        <v>59</v>
      </c>
      <c r="C176" s="8">
        <f>B176*320</f>
        <v/>
      </c>
      <c r="D176" s="9" t="n"/>
      <c r="E176" s="3" t="n"/>
      <c r="F176" s="3" t="n"/>
      <c r="G176" s="3" t="n"/>
      <c r="H176" s="3" t="n"/>
      <c r="I176" s="3" t="n"/>
      <c r="J176" s="21">
        <f>IF(OR(B176="",H176=""),"",B176-H176)</f>
        <v/>
      </c>
      <c r="K176" s="21">
        <f>IF(OR(C176="",I176=""),"",C176-I176)</f>
        <v/>
      </c>
    </row>
    <row r="177">
      <c r="A177" s="6" t="n">
        <v>46228</v>
      </c>
      <c r="B177" s="7" t="n">
        <v>56</v>
      </c>
      <c r="C177" s="8">
        <f>B177*320</f>
        <v/>
      </c>
      <c r="D177" s="9" t="n"/>
      <c r="E177" s="3" t="n"/>
      <c r="F177" s="3" t="n"/>
      <c r="G177" s="3" t="n"/>
      <c r="H177" s="3" t="n"/>
      <c r="I177" s="3" t="n"/>
      <c r="J177" s="21">
        <f>IF(OR(B177="",H177=""),"",B177-H177)</f>
        <v/>
      </c>
      <c r="K177" s="21">
        <f>IF(OR(C177="",I177=""),"",C177-I177)</f>
        <v/>
      </c>
    </row>
    <row r="178">
      <c r="A178" s="6" t="n">
        <v>46229</v>
      </c>
      <c r="B178" s="7" t="n">
        <v>23</v>
      </c>
      <c r="C178" s="8">
        <f>B178*320</f>
        <v/>
      </c>
      <c r="D178" s="9" t="inlineStr">
        <is>
          <t>วันอาทิตย์</t>
        </is>
      </c>
      <c r="E178" s="3" t="n"/>
      <c r="F178" s="3" t="n"/>
      <c r="G178" s="3" t="n"/>
      <c r="H178" s="3" t="n"/>
      <c r="I178" s="3" t="n"/>
      <c r="J178" s="21">
        <f>IF(OR(B178="",H178=""),"",B178-H178)</f>
        <v/>
      </c>
      <c r="K178" s="21">
        <f>IF(OR(C178="",I178=""),"",C178-I178)</f>
        <v/>
      </c>
    </row>
    <row r="179">
      <c r="A179" s="6" t="n">
        <v>46230</v>
      </c>
      <c r="B179" s="7" t="n">
        <v>57</v>
      </c>
      <c r="C179" s="8">
        <f>B179*320</f>
        <v/>
      </c>
      <c r="D179" s="9" t="inlineStr">
        <is>
          <t>รับพนักงานใหม่ เข้า-ออก</t>
        </is>
      </c>
      <c r="E179" s="3" t="n"/>
      <c r="F179" s="3" t="n"/>
      <c r="G179" s="3" t="n"/>
      <c r="H179" s="3" t="n"/>
      <c r="I179" s="3" t="n"/>
      <c r="J179" s="21">
        <f>IF(OR(B179="",H179=""),"",B179-H179)</f>
        <v/>
      </c>
      <c r="K179" s="21">
        <f>IF(OR(C179="",I179=""),"",C179-I179)</f>
        <v/>
      </c>
    </row>
    <row r="180">
      <c r="A180" s="6" t="n">
        <v>46231</v>
      </c>
      <c r="B180" s="7" t="n">
        <v>59</v>
      </c>
      <c r="C180" s="8">
        <f>B180*320</f>
        <v/>
      </c>
      <c r="D180" s="9" t="n"/>
      <c r="E180" s="3" t="n"/>
      <c r="F180" s="3" t="n"/>
      <c r="G180" s="3" t="n"/>
      <c r="H180" s="3" t="n"/>
      <c r="I180" s="3" t="n"/>
      <c r="J180" s="21">
        <f>IF(OR(B180="",H180=""),"",B180-H180)</f>
        <v/>
      </c>
      <c r="K180" s="21">
        <f>IF(OR(C180="",I180=""),"",C180-I180)</f>
        <v/>
      </c>
    </row>
    <row r="181">
      <c r="A181" s="6" t="n">
        <v>46232</v>
      </c>
      <c r="B181" s="7" t="n">
        <v>56</v>
      </c>
      <c r="C181" s="8">
        <f>B181*320</f>
        <v/>
      </c>
      <c r="D181" s="9" t="inlineStr">
        <is>
          <t>40-1932 นำรถเขาซ่อมระบบแอร์</t>
        </is>
      </c>
      <c r="E181" s="3" t="n"/>
      <c r="F181" s="3" t="n"/>
      <c r="G181" s="3" t="n"/>
      <c r="H181" s="3" t="n"/>
      <c r="I181" s="3" t="n"/>
      <c r="J181" s="21">
        <f>IF(OR(B181="",H181=""),"",B181-H181)</f>
        <v/>
      </c>
      <c r="K181" s="21">
        <f>IF(OR(C181="",I181=""),"",C181-I181)</f>
        <v/>
      </c>
    </row>
    <row r="182">
      <c r="A182" s="6" t="n">
        <v>46233</v>
      </c>
      <c r="B182" s="7" t="n">
        <v>56</v>
      </c>
      <c r="C182" s="8">
        <f>B182*320</f>
        <v/>
      </c>
      <c r="D182" s="9" t="n"/>
      <c r="E182" s="3" t="n"/>
      <c r="F182" s="3" t="n"/>
      <c r="G182" s="3" t="n"/>
      <c r="H182" s="3" t="n"/>
      <c r="I182" s="3" t="n"/>
      <c r="J182" s="21">
        <f>IF(OR(B182="",H182=""),"",B182-H182)</f>
        <v/>
      </c>
      <c r="K182" s="21">
        <f>IF(OR(C182="",I182=""),"",C182-I182)</f>
        <v/>
      </c>
    </row>
    <row r="183">
      <c r="A183" s="6" t="n">
        <v>46234</v>
      </c>
      <c r="B183" s="7" t="n">
        <v>53</v>
      </c>
      <c r="C183" s="8">
        <f>B183*320</f>
        <v/>
      </c>
      <c r="D183" s="9" t="n"/>
      <c r="E183" s="3" t="n"/>
      <c r="F183" s="3" t="n"/>
      <c r="G183" s="3" t="n"/>
      <c r="H183" s="3" t="n"/>
      <c r="I183" s="3" t="n"/>
      <c r="J183" s="21">
        <f>IF(OR(B183="",H183=""),"",B183-H183)</f>
        <v/>
      </c>
      <c r="K183" s="21">
        <f>IF(OR(C183="",I183=""),"",C183-I183)</f>
        <v/>
      </c>
    </row>
    <row r="184">
      <c r="A184" s="6" t="n">
        <v>46235</v>
      </c>
      <c r="B184" s="7" t="n">
        <v>61</v>
      </c>
      <c r="C184" s="8">
        <f>B184*320</f>
        <v/>
      </c>
      <c r="D184" s="9" t="inlineStr">
        <is>
          <t>รับพนักงานใหม่เข้า-ออก</t>
        </is>
      </c>
      <c r="E184" s="3" t="n"/>
      <c r="F184" s="3" t="n"/>
      <c r="G184" s="3" t="n"/>
      <c r="H184" s="3" t="n"/>
      <c r="I184" s="3" t="n"/>
      <c r="J184" s="21">
        <f>IF(OR(B184="",H184=""),"",B184-H184)</f>
        <v/>
      </c>
      <c r="K184" s="21">
        <f>IF(OR(C184="",I184=""),"",C184-I184)</f>
        <v/>
      </c>
    </row>
    <row r="185">
      <c r="A185" s="6" t="n">
        <v>46236</v>
      </c>
      <c r="B185" s="7" t="n">
        <v>28</v>
      </c>
      <c r="C185" s="8">
        <f>B185*320</f>
        <v/>
      </c>
      <c r="D185" s="9" t="inlineStr">
        <is>
          <t>วันอาทิตย์</t>
        </is>
      </c>
      <c r="E185" s="3" t="n"/>
      <c r="F185" s="3" t="n"/>
      <c r="G185" s="3" t="n"/>
      <c r="H185" s="3" t="n"/>
      <c r="I185" s="3" t="n"/>
      <c r="J185" s="21">
        <f>IF(OR(B185="",H185=""),"",B185-H185)</f>
        <v/>
      </c>
      <c r="K185" s="21">
        <f>IF(OR(C185="",I185=""),"",C185-I185)</f>
        <v/>
      </c>
    </row>
    <row r="186">
      <c r="A186" s="6" t="n">
        <v>46237</v>
      </c>
      <c r="B186" s="7" t="n">
        <v>52</v>
      </c>
      <c r="C186" s="8">
        <f>B186*320</f>
        <v/>
      </c>
      <c r="D186" s="9" t="n"/>
      <c r="E186" s="3" t="n"/>
      <c r="F186" s="3" t="n"/>
      <c r="G186" s="3" t="n"/>
      <c r="H186" s="3" t="n"/>
      <c r="I186" s="3" t="n"/>
      <c r="J186" s="21">
        <f>IF(OR(B186="",H186=""),"",B186-H186)</f>
        <v/>
      </c>
      <c r="K186" s="21">
        <f>IF(OR(C186="",I186=""),"",C186-I186)</f>
        <v/>
      </c>
    </row>
    <row r="187">
      <c r="A187" s="6" t="n">
        <v>46238</v>
      </c>
      <c r="B187" s="7" t="n">
        <v>56</v>
      </c>
      <c r="C187" s="8">
        <f>B187*320</f>
        <v/>
      </c>
      <c r="D187" s="9" t="n"/>
      <c r="E187" s="3" t="n"/>
      <c r="F187" s="3" t="n"/>
      <c r="G187" s="3" t="n"/>
      <c r="H187" s="3" t="n"/>
      <c r="I187" s="3" t="n"/>
      <c r="J187" s="21">
        <f>IF(OR(B187="",H187=""),"",B187-H187)</f>
        <v/>
      </c>
      <c r="K187" s="21">
        <f>IF(OR(C187="",I187=""),"",C187-I187)</f>
        <v/>
      </c>
    </row>
    <row r="188">
      <c r="A188" s="6" t="n">
        <v>46239</v>
      </c>
      <c r="B188" s="7" t="n">
        <v>57</v>
      </c>
      <c r="C188" s="8">
        <f>B188*320</f>
        <v/>
      </c>
      <c r="D188" s="9" t="inlineStr">
        <is>
          <t>พนักงานรับเงิน</t>
        </is>
      </c>
      <c r="E188" s="3" t="n"/>
      <c r="F188" s="3" t="n"/>
      <c r="G188" s="3" t="n"/>
      <c r="H188" s="3" t="n"/>
      <c r="I188" s="3" t="n"/>
      <c r="J188" s="21">
        <f>IF(OR(B188="",H188=""),"",B188-H188)</f>
        <v/>
      </c>
      <c r="K188" s="21">
        <f>IF(OR(C188="",I188=""),"",C188-I188)</f>
        <v/>
      </c>
    </row>
    <row r="189">
      <c r="A189" s="6" t="n">
        <v>46240</v>
      </c>
      <c r="B189" s="7" t="n">
        <v>54</v>
      </c>
      <c r="C189" s="8">
        <f>B189*320</f>
        <v/>
      </c>
      <c r="D189" s="9" t="n"/>
      <c r="E189" s="3" t="n"/>
      <c r="F189" s="3" t="n"/>
      <c r="G189" s="3" t="n"/>
      <c r="H189" s="3" t="n"/>
      <c r="I189" s="3" t="n"/>
      <c r="J189" s="21">
        <f>IF(OR(B189="",H189=""),"",B189-H189)</f>
        <v/>
      </c>
      <c r="K189" s="21">
        <f>IF(OR(C189="",I189=""),"",C189-I189)</f>
        <v/>
      </c>
    </row>
    <row r="190">
      <c r="A190" s="6" t="n">
        <v>46241</v>
      </c>
      <c r="B190" s="7" t="n">
        <v>54</v>
      </c>
      <c r="C190" s="8">
        <f>B190*320</f>
        <v/>
      </c>
      <c r="D190" s="9" t="n"/>
      <c r="E190" s="3" t="n"/>
      <c r="F190" s="3" t="n"/>
      <c r="G190" s="3" t="n"/>
      <c r="H190" s="3" t="n"/>
      <c r="I190" s="3" t="n"/>
      <c r="J190" s="21">
        <f>IF(OR(B190="",H190=""),"",B190-H190)</f>
        <v/>
      </c>
      <c r="K190" s="21">
        <f>IF(OR(C190="",I190=""),"",C190-I190)</f>
        <v/>
      </c>
    </row>
    <row r="191">
      <c r="A191" s="6" t="n">
        <v>46242</v>
      </c>
      <c r="B191" s="7" t="n">
        <v>60</v>
      </c>
      <c r="C191" s="8">
        <f>B191*320</f>
        <v/>
      </c>
      <c r="D191" s="9" t="inlineStr">
        <is>
          <t>รับพนักงานใหม่เข้า-ออก</t>
        </is>
      </c>
      <c r="E191" s="3" t="n"/>
      <c r="F191" s="3" t="n"/>
      <c r="G191" s="3" t="n"/>
      <c r="H191" s="3" t="n"/>
      <c r="I191" s="3" t="n"/>
      <c r="J191" s="21">
        <f>IF(OR(B191="",H191=""),"",B191-H191)</f>
        <v/>
      </c>
      <c r="K191" s="21">
        <f>IF(OR(C191="",I191=""),"",C191-I191)</f>
        <v/>
      </c>
    </row>
    <row r="192">
      <c r="A192" s="6" t="n">
        <v>46243</v>
      </c>
      <c r="B192" s="7" t="n">
        <v>12</v>
      </c>
      <c r="C192" s="8">
        <f>B192*320</f>
        <v/>
      </c>
      <c r="D192" s="9" t="inlineStr">
        <is>
          <t>วันอาทิตย์</t>
        </is>
      </c>
      <c r="E192" s="3" t="n"/>
      <c r="F192" s="3" t="n"/>
      <c r="G192" s="3" t="n"/>
      <c r="H192" s="3" t="n"/>
      <c r="I192" s="3" t="n"/>
      <c r="J192" s="21">
        <f>IF(OR(B192="",H192=""),"",B192-H192)</f>
        <v/>
      </c>
      <c r="K192" s="21">
        <f>IF(OR(C192="",I192=""),"",C192-I192)</f>
        <v/>
      </c>
    </row>
    <row r="193">
      <c r="A193" s="6" t="n">
        <v>46244</v>
      </c>
      <c r="B193" s="7" t="n">
        <v>54</v>
      </c>
      <c r="C193" s="8">
        <f>B193*320</f>
        <v/>
      </c>
      <c r="D193" s="9" t="n"/>
      <c r="E193" s="3" t="n"/>
      <c r="F193" s="3" t="n"/>
      <c r="G193" s="3" t="n"/>
      <c r="H193" s="3" t="n"/>
      <c r="I193" s="3" t="n"/>
      <c r="J193" s="21">
        <f>IF(OR(B193="",H193=""),"",B193-H193)</f>
        <v/>
      </c>
      <c r="K193" s="21">
        <f>IF(OR(C193="",I193=""),"",C193-I193)</f>
        <v/>
      </c>
    </row>
    <row r="194">
      <c r="A194" s="6" t="n">
        <v>46245</v>
      </c>
      <c r="B194" s="7" t="n">
        <v>59</v>
      </c>
      <c r="C194" s="8">
        <f>B194*320</f>
        <v/>
      </c>
      <c r="D194" s="9" t="inlineStr">
        <is>
          <t>ช่วงเข้างานวันจันทร์พนักงานเยอะ</t>
        </is>
      </c>
      <c r="E194" s="3" t="n"/>
      <c r="F194" s="3" t="n"/>
      <c r="G194" s="3" t="n"/>
      <c r="H194" s="3" t="n"/>
      <c r="I194" s="3" t="n"/>
      <c r="J194" s="21">
        <f>IF(OR(B194="",H194=""),"",B194-H194)</f>
        <v/>
      </c>
      <c r="K194" s="21">
        <f>IF(OR(C194="",I194=""),"",C194-I194)</f>
        <v/>
      </c>
    </row>
    <row r="195">
      <c r="A195" s="6" t="n">
        <v>46246</v>
      </c>
      <c r="B195" s="7" t="n">
        <v>41</v>
      </c>
      <c r="C195" s="8">
        <f>B195*320</f>
        <v/>
      </c>
      <c r="D195" s="9" t="n"/>
      <c r="E195" s="3" t="n"/>
      <c r="F195" s="3" t="n"/>
      <c r="G195" s="3" t="n"/>
      <c r="H195" s="3" t="n"/>
      <c r="I195" s="3" t="n"/>
      <c r="J195" s="21">
        <f>IF(OR(B195="",H195=""),"",B195-H195)</f>
        <v/>
      </c>
      <c r="K195" s="21">
        <f>IF(OR(C195="",I195=""),"",C195-I195)</f>
        <v/>
      </c>
    </row>
    <row r="196">
      <c r="A196" s="6" t="n">
        <v>46247</v>
      </c>
      <c r="B196" s="7" t="n">
        <v>47</v>
      </c>
      <c r="C196" s="8">
        <f>B196*320</f>
        <v/>
      </c>
      <c r="D196" s="9" t="n"/>
      <c r="E196" s="3" t="n"/>
      <c r="F196" s="3" t="n"/>
      <c r="G196" s="3" t="n"/>
      <c r="H196" s="3" t="n"/>
      <c r="I196" s="3" t="n"/>
      <c r="J196" s="21">
        <f>IF(OR(B196="",H196=""),"",B196-H196)</f>
        <v/>
      </c>
      <c r="K196" s="21">
        <f>IF(OR(C196="",I196=""),"",C196-I196)</f>
        <v/>
      </c>
    </row>
    <row r="197">
      <c r="A197" s="6" t="n">
        <v>46248</v>
      </c>
      <c r="B197" s="7" t="n">
        <v>55</v>
      </c>
      <c r="C197" s="8">
        <f>B197*320</f>
        <v/>
      </c>
      <c r="D197" s="9" t="n"/>
      <c r="E197" s="3" t="n"/>
      <c r="F197" s="3" t="n"/>
      <c r="G197" s="3" t="n"/>
      <c r="H197" s="3" t="n"/>
      <c r="I197" s="3" t="n"/>
      <c r="J197" s="21">
        <f>IF(OR(B197="",H197=""),"",B197-H197)</f>
        <v/>
      </c>
      <c r="K197" s="21">
        <f>IF(OR(C197="",I197=""),"",C197-I197)</f>
        <v/>
      </c>
    </row>
    <row r="198">
      <c r="A198" s="6" t="n">
        <v>46249</v>
      </c>
      <c r="B198" s="7" t="n">
        <v>56</v>
      </c>
      <c r="C198" s="8">
        <f>B198*320</f>
        <v/>
      </c>
      <c r="D198" s="9" t="n"/>
      <c r="E198" s="3" t="n"/>
      <c r="F198" s="3" t="n"/>
      <c r="G198" s="3" t="n"/>
      <c r="H198" s="3" t="n"/>
      <c r="I198" s="3" t="n"/>
      <c r="J198" s="21">
        <f>IF(OR(B198="",H198=""),"",B198-H198)</f>
        <v/>
      </c>
      <c r="K198" s="21">
        <f>IF(OR(C198="",I198=""),"",C198-I198)</f>
        <v/>
      </c>
    </row>
    <row r="199">
      <c r="A199" s="6" t="n">
        <v>46250</v>
      </c>
      <c r="B199" s="7" t="n">
        <v>19</v>
      </c>
      <c r="C199" s="8">
        <f>B199*320</f>
        <v/>
      </c>
      <c r="D199" s="9" t="inlineStr">
        <is>
          <t>วันอาทิตย์</t>
        </is>
      </c>
      <c r="E199" s="3" t="n"/>
      <c r="F199" s="3" t="n"/>
      <c r="G199" s="3" t="n"/>
      <c r="H199" s="3" t="n"/>
      <c r="I199" s="3" t="n"/>
      <c r="J199" s="21">
        <f>IF(OR(B199="",H199=""),"",B199-H199)</f>
        <v/>
      </c>
      <c r="K199" s="21">
        <f>IF(OR(C199="",I199=""),"",C199-I199)</f>
        <v/>
      </c>
    </row>
    <row r="200">
      <c r="A200" s="6" t="n">
        <v>46251</v>
      </c>
      <c r="B200" s="7" t="n">
        <v>55</v>
      </c>
      <c r="C200" s="8">
        <f>B200*320</f>
        <v/>
      </c>
      <c r="D200" s="9" t="n"/>
      <c r="E200" s="3" t="n"/>
      <c r="F200" s="3" t="n"/>
      <c r="G200" s="3" t="n"/>
      <c r="H200" s="3" t="n"/>
      <c r="I200" s="3" t="n"/>
      <c r="J200" s="21">
        <f>IF(OR(B200="",H200=""),"",B200-H200)</f>
        <v/>
      </c>
      <c r="K200" s="21">
        <f>IF(OR(C200="",I200=""),"",C200-I200)</f>
        <v/>
      </c>
    </row>
    <row r="201">
      <c r="A201" s="6" t="n">
        <v>46252</v>
      </c>
      <c r="B201" s="7" t="n">
        <v>55</v>
      </c>
      <c r="C201" s="8">
        <f>B201*320</f>
        <v/>
      </c>
      <c r="D201" s="9" t="n"/>
      <c r="E201" s="3" t="n"/>
      <c r="F201" s="3" t="n"/>
      <c r="G201" s="3" t="n"/>
      <c r="H201" s="3" t="n"/>
      <c r="I201" s="3" t="n"/>
      <c r="J201" s="21">
        <f>IF(OR(B201="",H201=""),"",B201-H201)</f>
        <v/>
      </c>
      <c r="K201" s="21">
        <f>IF(OR(C201="",I201=""),"",C201-I201)</f>
        <v/>
      </c>
    </row>
    <row r="202">
      <c r="A202" s="6" t="n">
        <v>46253</v>
      </c>
      <c r="B202" s="7" t="n">
        <v>54</v>
      </c>
      <c r="C202" s="8">
        <f>B202*320</f>
        <v/>
      </c>
      <c r="D202" s="9" t="n"/>
      <c r="E202" s="3" t="n"/>
      <c r="F202" s="3" t="n"/>
      <c r="G202" s="3" t="n"/>
      <c r="H202" s="3" t="n"/>
      <c r="I202" s="3" t="n"/>
      <c r="J202" s="21">
        <f>IF(OR(B202="",H202=""),"",B202-H202)</f>
        <v/>
      </c>
      <c r="K202" s="21">
        <f>IF(OR(C202="",I202=""),"",C202-I202)</f>
        <v/>
      </c>
    </row>
    <row r="203">
      <c r="A203" s="6" t="n">
        <v>46254</v>
      </c>
      <c r="B203" s="7" t="n">
        <v>54</v>
      </c>
      <c r="C203" s="8">
        <f>B203*320</f>
        <v/>
      </c>
      <c r="D203" s="9" t="n"/>
      <c r="E203" s="3" t="n"/>
      <c r="F203" s="3" t="n"/>
      <c r="G203" s="3" t="n"/>
      <c r="H203" s="3" t="n"/>
      <c r="I203" s="3" t="n"/>
      <c r="J203" s="21">
        <f>IF(OR(B203="",H203=""),"",B203-H203)</f>
        <v/>
      </c>
      <c r="K203" s="21">
        <f>IF(OR(C203="",I203=""),"",C203-I203)</f>
        <v/>
      </c>
    </row>
    <row r="204">
      <c r="A204" s="6" t="n">
        <v>46255</v>
      </c>
      <c r="B204" s="7" t="n">
        <v>51</v>
      </c>
      <c r="C204" s="8">
        <f>B204*320</f>
        <v/>
      </c>
      <c r="D204" s="9" t="n"/>
      <c r="E204" s="3" t="n"/>
      <c r="F204" s="3" t="n"/>
      <c r="G204" s="3" t="n"/>
      <c r="H204" s="3" t="n"/>
      <c r="I204" s="3" t="n"/>
      <c r="J204" s="21">
        <f>IF(OR(B204="",H204=""),"",B204-H204)</f>
        <v/>
      </c>
      <c r="K204" s="21">
        <f>IF(OR(C204="",I204=""),"",C204-I204)</f>
        <v/>
      </c>
    </row>
    <row r="205">
      <c r="A205" s="6" t="n">
        <v>46256</v>
      </c>
      <c r="B205" s="7" t="n">
        <v>51</v>
      </c>
      <c r="C205" s="8">
        <f>B205*320</f>
        <v/>
      </c>
      <c r="D205" s="9" t="n"/>
      <c r="E205" s="3" t="n"/>
      <c r="F205" s="3" t="n"/>
      <c r="G205" s="3" t="n"/>
      <c r="H205" s="3" t="n"/>
      <c r="I205" s="3" t="n"/>
      <c r="J205" s="21">
        <f>IF(OR(B205="",H205=""),"",B205-H205)</f>
        <v/>
      </c>
      <c r="K205" s="21">
        <f>IF(OR(C205="",I205=""),"",C205-I205)</f>
        <v/>
      </c>
    </row>
    <row r="206">
      <c r="A206" s="6" t="n">
        <v>46257</v>
      </c>
      <c r="B206" s="7" t="n">
        <v>20</v>
      </c>
      <c r="C206" s="8">
        <f>B206*320</f>
        <v/>
      </c>
      <c r="D206" s="9" t="inlineStr">
        <is>
          <t>วันอาทิตย์</t>
        </is>
      </c>
      <c r="E206" s="3" t="n"/>
      <c r="F206" s="3" t="n"/>
      <c r="G206" s="3" t="n"/>
      <c r="H206" s="3" t="n"/>
      <c r="I206" s="3" t="n"/>
      <c r="J206" s="21">
        <f>IF(OR(B206="",H206=""),"",B206-H206)</f>
        <v/>
      </c>
      <c r="K206" s="21">
        <f>IF(OR(C206="",I206=""),"",C206-I206)</f>
        <v/>
      </c>
    </row>
    <row r="207">
      <c r="A207" s="6" t="n">
        <v>46258</v>
      </c>
      <c r="B207" s="7" t="n">
        <v>58</v>
      </c>
      <c r="C207" s="8">
        <f>B207*320</f>
        <v/>
      </c>
      <c r="D207" s="9" t="inlineStr">
        <is>
          <t>การเปลื่ยนเวลาเข้างาน</t>
        </is>
      </c>
      <c r="E207" s="3" t="n"/>
      <c r="F207" s="3" t="n"/>
      <c r="G207" s="3" t="n"/>
      <c r="H207" s="3" t="n"/>
      <c r="I207" s="3" t="n"/>
      <c r="J207" s="21">
        <f>IF(OR(B207="",H207=""),"",B207-H207)</f>
        <v/>
      </c>
      <c r="K207" s="21">
        <f>IF(OR(C207="",I207=""),"",C207-I207)</f>
        <v/>
      </c>
    </row>
    <row r="208">
      <c r="A208" s="6" t="n">
        <v>46259</v>
      </c>
      <c r="B208" s="7" t="n">
        <v>61</v>
      </c>
      <c r="C208" s="8">
        <f>B208*320</f>
        <v/>
      </c>
      <c r="D208" s="9" t="inlineStr">
        <is>
          <t>การเปลื่ยนเวลาเข้างาน</t>
        </is>
      </c>
      <c r="E208" s="3" t="n"/>
      <c r="F208" s="3" t="n"/>
      <c r="G208" s="3" t="n"/>
      <c r="H208" s="3" t="n"/>
      <c r="I208" s="3" t="n"/>
      <c r="J208" s="21">
        <f>IF(OR(B208="",H208=""),"",B208-H208)</f>
        <v/>
      </c>
      <c r="K208" s="21">
        <f>IF(OR(C208="",I208=""),"",C208-I208)</f>
        <v/>
      </c>
    </row>
    <row r="209">
      <c r="A209" s="6" t="n">
        <v>46260</v>
      </c>
      <c r="B209" s="7" t="n">
        <v>61</v>
      </c>
      <c r="C209" s="8">
        <f>B209*320</f>
        <v/>
      </c>
      <c r="D209" s="9" t="inlineStr">
        <is>
          <t>การเปลื่ยนเวลาเข้างาน</t>
        </is>
      </c>
      <c r="E209" s="3" t="n"/>
      <c r="F209" s="3" t="n"/>
      <c r="G209" s="3" t="n"/>
      <c r="H209" s="3" t="n"/>
      <c r="I209" s="3" t="n"/>
      <c r="J209" s="21">
        <f>IF(OR(B209="",H209=""),"",B209-H209)</f>
        <v/>
      </c>
      <c r="K209" s="21">
        <f>IF(OR(C209="",I209=""),"",C209-I209)</f>
        <v/>
      </c>
    </row>
    <row r="210">
      <c r="A210" s="6" t="n">
        <v>46261</v>
      </c>
      <c r="B210" s="7" t="n">
        <v>58</v>
      </c>
      <c r="C210" s="8">
        <f>B210*320</f>
        <v/>
      </c>
      <c r="D210" s="9" t="inlineStr">
        <is>
          <t>การเปลื่ยนเวลาเข้างาน</t>
        </is>
      </c>
      <c r="E210" s="3" t="n"/>
      <c r="F210" s="3" t="n"/>
      <c r="G210" s="3" t="n"/>
      <c r="H210" s="3" t="n"/>
      <c r="I210" s="3" t="n"/>
      <c r="J210" s="21">
        <f>IF(OR(B210="",H210=""),"",B210-H210)</f>
        <v/>
      </c>
      <c r="K210" s="21">
        <f>IF(OR(C210="",I210=""),"",C210-I210)</f>
        <v/>
      </c>
    </row>
    <row r="211">
      <c r="A211" s="6" t="n">
        <v>46262</v>
      </c>
      <c r="B211" s="7" t="n">
        <v>55</v>
      </c>
      <c r="C211" s="8">
        <f>B211*320</f>
        <v/>
      </c>
      <c r="D211" s="9" t="n"/>
      <c r="E211" s="3" t="n"/>
      <c r="F211" s="3" t="n"/>
      <c r="G211" s="3" t="n"/>
      <c r="H211" s="3" t="n"/>
      <c r="I211" s="3" t="n"/>
      <c r="J211" s="21">
        <f>IF(OR(B211="",H211=""),"",B211-H211)</f>
        <v/>
      </c>
      <c r="K211" s="21">
        <f>IF(OR(C211="",I211=""),"",C211-I211)</f>
        <v/>
      </c>
    </row>
    <row r="212">
      <c r="A212" s="6" t="n">
        <v>46263</v>
      </c>
      <c r="B212" s="7" t="n">
        <v>58</v>
      </c>
      <c r="C212" s="8">
        <f>B212*320</f>
        <v/>
      </c>
      <c r="D212" s="9" t="inlineStr">
        <is>
          <t>การเปลื่ยนเวลาเข้างาน</t>
        </is>
      </c>
      <c r="E212" s="3" t="n"/>
      <c r="F212" s="3" t="n"/>
      <c r="G212" s="3" t="n"/>
      <c r="H212" s="3" t="n"/>
      <c r="I212" s="3" t="n"/>
      <c r="J212" s="21">
        <f>IF(OR(B212="",H212=""),"",B212-H212)</f>
        <v/>
      </c>
      <c r="K212" s="21">
        <f>IF(OR(C212="",I212=""),"",C212-I212)</f>
        <v/>
      </c>
    </row>
    <row r="213">
      <c r="A213" s="6" t="n">
        <v>46264</v>
      </c>
      <c r="B213" s="7" t="n">
        <v>15</v>
      </c>
      <c r="C213" s="8">
        <f>B213*320</f>
        <v/>
      </c>
      <c r="D213" s="9" t="inlineStr">
        <is>
          <t>วันอาทิตย์</t>
        </is>
      </c>
      <c r="E213" s="3" t="n"/>
      <c r="F213" s="3" t="n"/>
      <c r="G213" s="3" t="n"/>
      <c r="H213" s="3" t="n"/>
      <c r="I213" s="3" t="n"/>
      <c r="J213" s="21">
        <f>IF(OR(B213="",H213=""),"",B213-H213)</f>
        <v/>
      </c>
      <c r="K213" s="21">
        <f>IF(OR(C213="",I213=""),"",C213-I213)</f>
        <v/>
      </c>
    </row>
    <row r="214">
      <c r="A214" s="6" t="n">
        <v>46265</v>
      </c>
      <c r="B214" s="7" t="n">
        <v>64</v>
      </c>
      <c r="C214" s="8">
        <f>B214*320</f>
        <v/>
      </c>
      <c r="D214" s="9" t="inlineStr">
        <is>
          <t>พนักงานกะดึกลา 1 คน</t>
        </is>
      </c>
      <c r="E214" s="3" t="n"/>
      <c r="F214" s="3" t="n"/>
      <c r="G214" s="3" t="n"/>
      <c r="H214" s="3" t="n"/>
      <c r="I214" s="3" t="n"/>
      <c r="J214" s="21">
        <f>IF(OR(B214="",H214=""),"",B214-H214)</f>
        <v/>
      </c>
      <c r="K214" s="21">
        <f>IF(OR(C214="",I214=""),"",C214-I214)</f>
        <v/>
      </c>
    </row>
    <row r="215">
      <c r="A215" s="6" t="n">
        <v>46266</v>
      </c>
      <c r="B215" s="7" t="n">
        <v>60</v>
      </c>
      <c r="C215" s="8">
        <f>B215*320</f>
        <v/>
      </c>
      <c r="D215" s="9" t="n"/>
      <c r="E215" s="3" t="n"/>
      <c r="F215" s="3" t="n"/>
      <c r="G215" s="3" t="n"/>
      <c r="H215" s="3" t="n"/>
      <c r="I215" s="3" t="n"/>
      <c r="J215" s="21">
        <f>IF(OR(B215="",H215=""),"",B215-H215)</f>
        <v/>
      </c>
      <c r="K215" s="21">
        <f>IF(OR(C215="",I215=""),"",C215-I215)</f>
        <v/>
      </c>
    </row>
    <row r="216">
      <c r="A216" s="6" t="n">
        <v>46267</v>
      </c>
      <c r="B216" s="7" t="n">
        <v>57</v>
      </c>
      <c r="C216" s="8">
        <f>B216*320</f>
        <v/>
      </c>
      <c r="D216" s="9" t="n"/>
      <c r="E216" s="3" t="n"/>
      <c r="F216" s="3" t="n"/>
      <c r="G216" s="3" t="n"/>
      <c r="H216" s="3" t="n"/>
      <c r="I216" s="3" t="n"/>
      <c r="J216" s="21">
        <f>IF(OR(B216="",H216=""),"",B216-H216)</f>
        <v/>
      </c>
      <c r="K216" s="21">
        <f>IF(OR(C216="",I216=""),"",C216-I216)</f>
        <v/>
      </c>
    </row>
    <row r="217">
      <c r="A217" s="6" t="n">
        <v>46268</v>
      </c>
      <c r="B217" s="7" t="n">
        <v>55</v>
      </c>
      <c r="C217" s="8">
        <f>B217*320</f>
        <v/>
      </c>
      <c r="D217" s="9" t="n"/>
      <c r="E217" s="3" t="n"/>
      <c r="F217" s="3" t="n"/>
      <c r="G217" s="3" t="n"/>
      <c r="H217" s="3" t="n"/>
      <c r="I217" s="3" t="n"/>
      <c r="J217" s="21">
        <f>IF(OR(B217="",H217=""),"",B217-H217)</f>
        <v/>
      </c>
      <c r="K217" s="21">
        <f>IF(OR(C217="",I217=""),"",C217-I217)</f>
        <v/>
      </c>
    </row>
    <row r="218">
      <c r="A218" s="6" t="n">
        <v>46269</v>
      </c>
      <c r="B218" s="7" t="n">
        <v>55</v>
      </c>
      <c r="C218" s="8">
        <f>B218*320</f>
        <v/>
      </c>
      <c r="D218" s="9" t="n"/>
      <c r="E218" s="3" t="n"/>
      <c r="F218" s="3" t="n"/>
      <c r="G218" s="3" t="n"/>
      <c r="H218" s="3" t="n"/>
      <c r="I218" s="3" t="n"/>
      <c r="J218" s="21">
        <f>IF(OR(B218="",H218=""),"",B218-H218)</f>
        <v/>
      </c>
      <c r="K218" s="21">
        <f>IF(OR(C218="",I218=""),"",C218-I218)</f>
        <v/>
      </c>
    </row>
    <row r="219">
      <c r="A219" s="6" t="n">
        <v>46270</v>
      </c>
      <c r="B219" s="7" t="n">
        <v>51</v>
      </c>
      <c r="C219" s="8">
        <f>B219*320</f>
        <v/>
      </c>
      <c r="D219" s="9" t="n"/>
      <c r="E219" s="3" t="n"/>
      <c r="F219" s="3" t="n"/>
      <c r="G219" s="3" t="n"/>
      <c r="H219" s="3" t="n"/>
      <c r="I219" s="3" t="n"/>
      <c r="J219" s="21">
        <f>IF(OR(B219="",H219=""),"",B219-H219)</f>
        <v/>
      </c>
      <c r="K219" s="21">
        <f>IF(OR(C219="",I219=""),"",C219-I219)</f>
        <v/>
      </c>
    </row>
    <row r="220">
      <c r="A220" s="6" t="n">
        <v>46271</v>
      </c>
      <c r="B220" s="7" t="n">
        <v>18</v>
      </c>
      <c r="C220" s="8">
        <f>B220*320</f>
        <v/>
      </c>
      <c r="D220" s="9" t="inlineStr">
        <is>
          <t>วันอาทิตย์</t>
        </is>
      </c>
      <c r="E220" s="3" t="n"/>
      <c r="F220" s="3" t="n"/>
      <c r="G220" s="3" t="n"/>
      <c r="H220" s="3" t="n"/>
      <c r="I220" s="3" t="n"/>
      <c r="J220" s="21">
        <f>IF(OR(B220="",H220=""),"",B220-H220)</f>
        <v/>
      </c>
      <c r="K220" s="21">
        <f>IF(OR(C220="",I220=""),"",C220-I220)</f>
        <v/>
      </c>
    </row>
    <row r="221">
      <c r="A221" s="6" t="n">
        <v>46272</v>
      </c>
      <c r="B221" s="7" t="n">
        <v>56</v>
      </c>
      <c r="C221" s="8">
        <f>B221*320</f>
        <v/>
      </c>
      <c r="D221" s="9" t="n"/>
      <c r="E221" s="3" t="n"/>
      <c r="F221" s="3" t="n"/>
      <c r="G221" s="3" t="n"/>
      <c r="H221" s="3" t="n"/>
      <c r="I221" s="3" t="n"/>
      <c r="J221" s="21">
        <f>IF(OR(B221="",H221=""),"",B221-H221)</f>
        <v/>
      </c>
      <c r="K221" s="21">
        <f>IF(OR(C221="",I221=""),"",C221-I221)</f>
        <v/>
      </c>
    </row>
    <row r="222">
      <c r="A222" s="6" t="n">
        <v>46273</v>
      </c>
      <c r="B222" s="7" t="n">
        <v>54</v>
      </c>
      <c r="C222" s="8">
        <f>B222*320</f>
        <v/>
      </c>
      <c r="D222" s="9" t="n"/>
      <c r="E222" s="3" t="n"/>
      <c r="F222" s="3" t="n"/>
      <c r="G222" s="3" t="n"/>
      <c r="H222" s="3" t="n"/>
      <c r="I222" s="3" t="n"/>
      <c r="J222" s="21">
        <f>IF(OR(B222="",H222=""),"",B222-H222)</f>
        <v/>
      </c>
      <c r="K222" s="21">
        <f>IF(OR(C222="",I222=""),"",C222-I222)</f>
        <v/>
      </c>
    </row>
    <row r="223">
      <c r="A223" s="6" t="n">
        <v>46274</v>
      </c>
      <c r="B223" s="7" t="n">
        <v>51</v>
      </c>
      <c r="C223" s="8">
        <f>B223*320</f>
        <v/>
      </c>
      <c r="D223" s="9" t="n"/>
      <c r="E223" s="3" t="n"/>
      <c r="F223" s="3" t="n"/>
      <c r="G223" s="3" t="n"/>
      <c r="H223" s="3" t="n"/>
      <c r="I223" s="3" t="n"/>
      <c r="J223" s="21">
        <f>IF(OR(B223="",H223=""),"",B223-H223)</f>
        <v/>
      </c>
      <c r="K223" s="21">
        <f>IF(OR(C223="",I223=""),"",C223-I223)</f>
        <v/>
      </c>
    </row>
    <row r="224">
      <c r="A224" s="6" t="n">
        <v>46275</v>
      </c>
      <c r="B224" s="7" t="n">
        <v>51</v>
      </c>
      <c r="C224" s="8">
        <f>B224*320</f>
        <v/>
      </c>
      <c r="D224" s="9" t="n"/>
      <c r="E224" s="3" t="n"/>
      <c r="F224" s="3" t="n"/>
      <c r="G224" s="3" t="n"/>
      <c r="H224" s="3" t="n"/>
      <c r="I224" s="3" t="n"/>
      <c r="J224" s="21">
        <f>IF(OR(B224="",H224=""),"",B224-H224)</f>
        <v/>
      </c>
      <c r="K224" s="21">
        <f>IF(OR(C224="",I224=""),"",C224-I224)</f>
        <v/>
      </c>
    </row>
    <row r="225">
      <c r="A225" s="6" t="n">
        <v>46276</v>
      </c>
      <c r="B225" s="7" t="n">
        <v>53</v>
      </c>
      <c r="C225" s="8">
        <f>B225*320</f>
        <v/>
      </c>
      <c r="D225" s="9" t="n"/>
      <c r="E225" s="3" t="n"/>
      <c r="F225" s="3" t="n"/>
      <c r="G225" s="3" t="n"/>
      <c r="H225" s="3" t="n"/>
      <c r="I225" s="3" t="n"/>
      <c r="J225" s="21">
        <f>IF(OR(B225="",H225=""),"",B225-H225)</f>
        <v/>
      </c>
      <c r="K225" s="21">
        <f>IF(OR(C225="",I225=""),"",C225-I225)</f>
        <v/>
      </c>
    </row>
    <row r="226">
      <c r="A226" s="6" t="n">
        <v>46277</v>
      </c>
      <c r="B226" s="7" t="n">
        <v>53</v>
      </c>
      <c r="C226" s="8">
        <f>B226*320</f>
        <v/>
      </c>
      <c r="D226" s="9" t="n"/>
      <c r="E226" s="3" t="n"/>
      <c r="F226" s="3" t="n"/>
      <c r="G226" s="3" t="n"/>
      <c r="H226" s="3" t="n"/>
      <c r="I226" s="3" t="n"/>
      <c r="J226" s="21">
        <f>IF(OR(B226="",H226=""),"",B226-H226)</f>
        <v/>
      </c>
      <c r="K226" s="21">
        <f>IF(OR(C226="",I226=""),"",C226-I226)</f>
        <v/>
      </c>
    </row>
    <row r="227">
      <c r="A227" s="6" t="n">
        <v>46278</v>
      </c>
      <c r="B227" s="7" t="n">
        <v>22</v>
      </c>
      <c r="C227" s="8">
        <f>B227*320</f>
        <v/>
      </c>
      <c r="D227" s="9" t="inlineStr">
        <is>
          <t>วันอาทิตย์</t>
        </is>
      </c>
      <c r="E227" s="3" t="n"/>
      <c r="F227" s="3" t="n"/>
      <c r="G227" s="3" t="n"/>
      <c r="H227" s="3" t="n"/>
      <c r="I227" s="3" t="n"/>
      <c r="J227" s="21">
        <f>IF(OR(B227="",H227=""),"",B227-H227)</f>
        <v/>
      </c>
      <c r="K227" s="21">
        <f>IF(OR(C227="",I227=""),"",C227-I227)</f>
        <v/>
      </c>
    </row>
    <row r="228">
      <c r="A228" s="6" t="n">
        <v>46279</v>
      </c>
      <c r="B228" s="7" t="n">
        <v>51</v>
      </c>
      <c r="C228" s="8">
        <f>B228*320</f>
        <v/>
      </c>
      <c r="D228" s="9" t="n"/>
      <c r="E228" s="3" t="n"/>
      <c r="F228" s="3" t="n"/>
      <c r="G228" s="3" t="n"/>
      <c r="H228" s="3" t="n"/>
      <c r="I228" s="3" t="n"/>
      <c r="J228" s="21">
        <f>IF(OR(B228="",H228=""),"",B228-H228)</f>
        <v/>
      </c>
      <c r="K228" s="21">
        <f>IF(OR(C228="",I228=""),"",C228-I228)</f>
        <v/>
      </c>
    </row>
    <row r="229">
      <c r="A229" s="6" t="n">
        <v>46280</v>
      </c>
      <c r="B229" s="7" t="n">
        <v>51</v>
      </c>
      <c r="C229" s="8">
        <f>B229*320</f>
        <v/>
      </c>
      <c r="D229" s="9" t="n"/>
      <c r="E229" s="3" t="n"/>
      <c r="F229" s="3" t="n"/>
      <c r="G229" s="3" t="n"/>
      <c r="H229" s="3" t="n"/>
      <c r="I229" s="3" t="n"/>
      <c r="J229" s="21">
        <f>IF(OR(B229="",H229=""),"",B229-H229)</f>
        <v/>
      </c>
      <c r="K229" s="21">
        <f>IF(OR(C229="",I229=""),"",C229-I229)</f>
        <v/>
      </c>
    </row>
    <row r="230">
      <c r="A230" s="6" t="n">
        <v>46281</v>
      </c>
      <c r="B230" s="7" t="n">
        <v>52</v>
      </c>
      <c r="C230" s="8">
        <f>B230*320</f>
        <v/>
      </c>
      <c r="D230" s="9" t="n"/>
      <c r="E230" s="3" t="n"/>
      <c r="F230" s="3" t="n"/>
      <c r="G230" s="3" t="n"/>
      <c r="H230" s="3" t="n"/>
      <c r="I230" s="3" t="n"/>
      <c r="J230" s="21">
        <f>IF(OR(B230="",H230=""),"",B230-H230)</f>
        <v/>
      </c>
      <c r="K230" s="21">
        <f>IF(OR(C230="",I230=""),"",C230-I230)</f>
        <v/>
      </c>
    </row>
    <row r="231">
      <c r="A231" s="6" t="n">
        <v>46282</v>
      </c>
      <c r="B231" s="7" t="n">
        <v>52</v>
      </c>
      <c r="C231" s="8">
        <f>B231*320</f>
        <v/>
      </c>
      <c r="D231" s="9" t="n"/>
      <c r="E231" s="3" t="n"/>
      <c r="F231" s="3" t="n"/>
      <c r="G231" s="3" t="n"/>
      <c r="H231" s="3" t="n"/>
      <c r="I231" s="3" t="n"/>
      <c r="J231" s="21">
        <f>IF(OR(B231="",H231=""),"",B231-H231)</f>
        <v/>
      </c>
      <c r="K231" s="21">
        <f>IF(OR(C231="",I231=""),"",C231-I231)</f>
        <v/>
      </c>
    </row>
    <row r="232">
      <c r="A232" s="6" t="n">
        <v>46283</v>
      </c>
      <c r="B232" s="7" t="n">
        <v>56</v>
      </c>
      <c r="C232" s="8">
        <f>B232*320</f>
        <v/>
      </c>
      <c r="D232" s="9" t="n"/>
      <c r="E232" s="3" t="n"/>
      <c r="F232" s="3" t="n"/>
      <c r="G232" s="3" t="n"/>
      <c r="H232" s="3" t="n"/>
      <c r="I232" s="3" t="n"/>
      <c r="J232" s="21">
        <f>IF(OR(B232="",H232=""),"",B232-H232)</f>
        <v/>
      </c>
      <c r="K232" s="21">
        <f>IF(OR(C232="",I232=""),"",C232-I232)</f>
        <v/>
      </c>
    </row>
    <row r="233">
      <c r="A233" s="6" t="n">
        <v>46284</v>
      </c>
      <c r="B233" s="7" t="n">
        <v>55</v>
      </c>
      <c r="C233" s="8">
        <f>B233*320</f>
        <v/>
      </c>
      <c r="D233" s="9" t="n"/>
      <c r="E233" s="3" t="n"/>
      <c r="F233" s="3" t="n"/>
      <c r="G233" s="3" t="n"/>
      <c r="H233" s="3" t="n"/>
      <c r="I233" s="3" t="n"/>
      <c r="J233" s="21">
        <f>IF(OR(B233="",H233=""),"",B233-H233)</f>
        <v/>
      </c>
      <c r="K233" s="21">
        <f>IF(OR(C233="",I233=""),"",C233-I233)</f>
        <v/>
      </c>
    </row>
    <row r="234">
      <c r="A234" s="6" t="n">
        <v>46285</v>
      </c>
      <c r="B234" s="7" t="n">
        <v>19</v>
      </c>
      <c r="C234" s="8">
        <f>B234*320</f>
        <v/>
      </c>
      <c r="D234" s="9" t="inlineStr">
        <is>
          <t>วันอาทิตย์</t>
        </is>
      </c>
      <c r="E234" s="3" t="n"/>
      <c r="F234" s="3" t="n"/>
      <c r="G234" s="3" t="n"/>
      <c r="H234" s="3" t="n"/>
      <c r="I234" s="3" t="n"/>
      <c r="J234" s="21">
        <f>IF(OR(B234="",H234=""),"",B234-H234)</f>
        <v/>
      </c>
      <c r="K234" s="21">
        <f>IF(OR(C234="",I234=""),"",C234-I234)</f>
        <v/>
      </c>
    </row>
    <row r="235">
      <c r="A235" s="6" t="n">
        <v>46286</v>
      </c>
      <c r="B235" s="7" t="n">
        <v>55</v>
      </c>
      <c r="C235" s="8">
        <f>B235*320</f>
        <v/>
      </c>
      <c r="D235" s="9" t="n"/>
      <c r="E235" s="3" t="n"/>
      <c r="F235" s="3" t="n"/>
      <c r="G235" s="3" t="n"/>
      <c r="H235" s="3" t="n"/>
      <c r="I235" s="3" t="n"/>
      <c r="J235" s="21">
        <f>IF(OR(B235="",H235=""),"",B235-H235)</f>
        <v/>
      </c>
      <c r="K235" s="21">
        <f>IF(OR(C235="",I235=""),"",C235-I235)</f>
        <v/>
      </c>
    </row>
    <row r="236">
      <c r="A236" s="6" t="n">
        <v>46287</v>
      </c>
      <c r="B236" s="7" t="n">
        <v>55</v>
      </c>
      <c r="C236" s="8">
        <f>B236*320</f>
        <v/>
      </c>
      <c r="D236" s="9" t="n"/>
      <c r="E236" s="3" t="n"/>
      <c r="F236" s="3" t="n"/>
      <c r="G236" s="3" t="n"/>
      <c r="H236" s="3" t="n"/>
      <c r="I236" s="3" t="n"/>
      <c r="J236" s="21">
        <f>IF(OR(B236="",H236=""),"",B236-H236)</f>
        <v/>
      </c>
      <c r="K236" s="21">
        <f>IF(OR(C236="",I236=""),"",C236-I236)</f>
        <v/>
      </c>
    </row>
    <row r="237">
      <c r="A237" s="6" t="n">
        <v>46288</v>
      </c>
      <c r="B237" s="7" t="n">
        <v>55</v>
      </c>
      <c r="C237" s="8">
        <f>B237*320</f>
        <v/>
      </c>
      <c r="D237" s="9" t="n"/>
      <c r="E237" s="3" t="n"/>
      <c r="F237" s="3" t="n"/>
      <c r="G237" s="3" t="n"/>
      <c r="H237" s="3" t="n"/>
      <c r="I237" s="3" t="n"/>
      <c r="J237" s="21">
        <f>IF(OR(B237="",H237=""),"",B237-H237)</f>
        <v/>
      </c>
      <c r="K237" s="21">
        <f>IF(OR(C237="",I237=""),"",C237-I237)</f>
        <v/>
      </c>
    </row>
    <row r="238">
      <c r="A238" s="6" t="n">
        <v>46289</v>
      </c>
      <c r="B238" s="7" t="n">
        <v>55</v>
      </c>
      <c r="C238" s="8">
        <f>B238*320</f>
        <v/>
      </c>
      <c r="D238" s="9" t="n"/>
      <c r="E238" s="3" t="n"/>
      <c r="F238" s="3" t="n"/>
      <c r="G238" s="3" t="n"/>
      <c r="H238" s="3" t="n"/>
      <c r="I238" s="3" t="n"/>
      <c r="J238" s="21">
        <f>IF(OR(B238="",H238=""),"",B238-H238)</f>
        <v/>
      </c>
      <c r="K238" s="21">
        <f>IF(OR(C238="",I238=""),"",C238-I238)</f>
        <v/>
      </c>
    </row>
    <row r="239">
      <c r="A239" s="6" t="n">
        <v>46290</v>
      </c>
      <c r="B239" s="7" t="n">
        <v>51</v>
      </c>
      <c r="C239" s="8">
        <f>B239*320</f>
        <v/>
      </c>
      <c r="D239" s="9" t="n"/>
      <c r="E239" s="3" t="n"/>
      <c r="F239" s="3" t="n"/>
      <c r="G239" s="3" t="n"/>
      <c r="H239" s="3" t="n"/>
      <c r="I239" s="3" t="n"/>
      <c r="J239" s="21">
        <f>IF(OR(B239="",H239=""),"",B239-H239)</f>
        <v/>
      </c>
      <c r="K239" s="21">
        <f>IF(OR(C239="",I239=""),"",C239-I239)</f>
        <v/>
      </c>
    </row>
    <row r="240">
      <c r="A240" s="6" t="n">
        <v>46291</v>
      </c>
      <c r="B240" s="7" t="n">
        <v>63</v>
      </c>
      <c r="C240" s="8">
        <f>B240*320</f>
        <v/>
      </c>
      <c r="D240" s="9" t="inlineStr">
        <is>
          <t>น้ำท่วม</t>
        </is>
      </c>
      <c r="E240" s="3" t="n"/>
      <c r="F240" s="3" t="n"/>
      <c r="G240" s="3" t="n"/>
      <c r="H240" s="3" t="n"/>
      <c r="I240" s="3" t="n"/>
      <c r="J240" s="21">
        <f>IF(OR(B240="",H240=""),"",B240-H240)</f>
        <v/>
      </c>
      <c r="K240" s="21">
        <f>IF(OR(C240="",I240=""),"",C240-I240)</f>
        <v/>
      </c>
    </row>
    <row r="241">
      <c r="A241" s="6" t="n">
        <v>46292</v>
      </c>
      <c r="B241" s="7" t="n">
        <v>22</v>
      </c>
      <c r="C241" s="8">
        <f>B241*320</f>
        <v/>
      </c>
      <c r="D241" s="9" t="inlineStr">
        <is>
          <t>วันอาทิตย์</t>
        </is>
      </c>
      <c r="E241" s="3" t="n"/>
      <c r="F241" s="3" t="n"/>
      <c r="G241" s="3" t="n"/>
      <c r="H241" s="3" t="n"/>
      <c r="I241" s="3" t="n"/>
      <c r="J241" s="21">
        <f>IF(OR(B241="",H241=""),"",B241-H241)</f>
        <v/>
      </c>
      <c r="K241" s="21">
        <f>IF(OR(C241="",I241=""),"",C241-I241)</f>
        <v/>
      </c>
    </row>
    <row r="242">
      <c r="A242" s="6" t="n">
        <v>46293</v>
      </c>
      <c r="B242" s="7" t="n">
        <v>70</v>
      </c>
      <c r="C242" s="8">
        <f>B242*320</f>
        <v/>
      </c>
      <c r="D242" s="9" t="inlineStr">
        <is>
          <t>น้ำท่วม</t>
        </is>
      </c>
      <c r="E242" s="3" t="n"/>
      <c r="F242" s="3" t="n"/>
      <c r="G242" s="3" t="n"/>
      <c r="H242" s="3" t="n"/>
      <c r="I242" s="3" t="n"/>
      <c r="J242" s="21">
        <f>IF(OR(B242="",H242=""),"",B242-H242)</f>
        <v/>
      </c>
      <c r="K242" s="21">
        <f>IF(OR(C242="",I242=""),"",C242-I242)</f>
        <v/>
      </c>
    </row>
    <row r="243">
      <c r="A243" s="6" t="n">
        <v>46294</v>
      </c>
      <c r="B243" s="7" t="n">
        <v>82</v>
      </c>
      <c r="C243" s="8">
        <f>B243*320</f>
        <v/>
      </c>
      <c r="D243" s="9" t="inlineStr">
        <is>
          <t>น้ำท่วม</t>
        </is>
      </c>
      <c r="E243" s="3" t="n"/>
      <c r="F243" s="3" t="n"/>
      <c r="G243" s="3" t="n"/>
      <c r="H243" s="3" t="n"/>
      <c r="I243" s="3" t="n"/>
      <c r="J243" s="21">
        <f>IF(OR(B243="",H243=""),"",B243-H243)</f>
        <v/>
      </c>
      <c r="K243" s="21">
        <f>IF(OR(C243="",I243=""),"",C243-I243)</f>
        <v/>
      </c>
    </row>
    <row r="244">
      <c r="A244" s="6" t="n">
        <v>46295</v>
      </c>
      <c r="B244" s="7" t="n">
        <v>87</v>
      </c>
      <c r="C244" s="8">
        <f>B244*320</f>
        <v/>
      </c>
      <c r="D244" s="9" t="n"/>
      <c r="E244" s="3" t="n"/>
      <c r="F244" s="3" t="n"/>
      <c r="G244" s="3" t="n"/>
      <c r="H244" s="3" t="n"/>
      <c r="I244" s="3" t="n"/>
      <c r="J244" s="21">
        <f>IF(OR(B244="",H244=""),"",B244-H244)</f>
        <v/>
      </c>
      <c r="K244" s="21">
        <f>IF(OR(C244="",I244=""),"",C244-I244)</f>
        <v/>
      </c>
    </row>
    <row r="245">
      <c r="A245" s="6" t="n">
        <v>46296</v>
      </c>
      <c r="B245" s="7" t="n">
        <v>87</v>
      </c>
      <c r="C245" s="8">
        <f>B245*320</f>
        <v/>
      </c>
      <c r="D245" s="9" t="inlineStr">
        <is>
          <t>น้ำท่วม</t>
        </is>
      </c>
      <c r="E245" s="3" t="n"/>
      <c r="F245" s="3" t="n"/>
      <c r="G245" s="3" t="n"/>
      <c r="H245" s="3" t="n"/>
      <c r="I245" s="3" t="n"/>
      <c r="J245" s="21">
        <f>IF(OR(B245="",H245=""),"",B245-H245)</f>
        <v/>
      </c>
      <c r="K245" s="21">
        <f>IF(OR(C245="",I245=""),"",C245-I245)</f>
        <v/>
      </c>
    </row>
    <row r="246">
      <c r="A246" s="6" t="n">
        <v>46297</v>
      </c>
      <c r="B246" s="7" t="n">
        <v>68</v>
      </c>
      <c r="C246" s="8">
        <f>B246*320</f>
        <v/>
      </c>
      <c r="D246" s="9" t="inlineStr">
        <is>
          <t>น้ำท่วม</t>
        </is>
      </c>
      <c r="E246" s="3" t="n"/>
      <c r="F246" s="3" t="n"/>
      <c r="G246" s="3" t="n"/>
      <c r="H246" s="3" t="n"/>
      <c r="I246" s="3" t="n"/>
      <c r="J246" s="21">
        <f>IF(OR(B246="",H246=""),"",B246-H246)</f>
        <v/>
      </c>
      <c r="K246" s="21">
        <f>IF(OR(C246="",I246=""),"",C246-I246)</f>
        <v/>
      </c>
    </row>
    <row r="247">
      <c r="A247" s="6" t="n">
        <v>46298</v>
      </c>
      <c r="B247" s="7" t="n">
        <v>61</v>
      </c>
      <c r="C247" s="8">
        <f>B247*320</f>
        <v/>
      </c>
      <c r="D247" s="9" t="inlineStr">
        <is>
          <t>น้ำท่วม</t>
        </is>
      </c>
      <c r="E247" s="3" t="n"/>
      <c r="F247" s="3" t="n"/>
      <c r="G247" s="3" t="n"/>
      <c r="H247" s="3" t="n"/>
      <c r="I247" s="3" t="n"/>
      <c r="J247" s="21">
        <f>IF(OR(B247="",H247=""),"",B247-H247)</f>
        <v/>
      </c>
      <c r="K247" s="21">
        <f>IF(OR(C247="",I247=""),"",C247-I247)</f>
        <v/>
      </c>
    </row>
    <row r="248">
      <c r="A248" s="6" t="n">
        <v>46299</v>
      </c>
      <c r="B248" s="7" t="n">
        <v>65</v>
      </c>
      <c r="C248" s="8">
        <f>B248*320</f>
        <v/>
      </c>
      <c r="D248" s="9" t="inlineStr">
        <is>
          <t>วันอาทิตย์</t>
        </is>
      </c>
      <c r="E248" s="3" t="n"/>
      <c r="F248" s="3" t="n"/>
      <c r="G248" s="3" t="n"/>
      <c r="H248" s="3" t="n"/>
      <c r="I248" s="3" t="n"/>
      <c r="J248" s="21">
        <f>IF(OR(B248="",H248=""),"",B248-H248)</f>
        <v/>
      </c>
      <c r="K248" s="21">
        <f>IF(OR(C248="",I248=""),"",C248-I248)</f>
        <v/>
      </c>
    </row>
    <row r="249">
      <c r="A249" s="6" t="n">
        <v>46300</v>
      </c>
      <c r="B249" s="7" t="n">
        <v>89</v>
      </c>
      <c r="C249" s="8">
        <f>B249*320</f>
        <v/>
      </c>
      <c r="D249" s="9" t="inlineStr">
        <is>
          <t>น้ำท่วม</t>
        </is>
      </c>
      <c r="E249" s="3" t="n"/>
      <c r="F249" s="3" t="n"/>
      <c r="G249" s="3" t="n"/>
      <c r="H249" s="3" t="n"/>
      <c r="I249" s="3" t="n"/>
      <c r="J249" s="21">
        <f>IF(OR(B249="",H249=""),"",B249-H249)</f>
        <v/>
      </c>
      <c r="K249" s="21">
        <f>IF(OR(C249="",I249=""),"",C249-I249)</f>
        <v/>
      </c>
    </row>
    <row r="250">
      <c r="A250" s="6" t="n">
        <v>46301</v>
      </c>
      <c r="B250" s="7" t="n">
        <v>75</v>
      </c>
      <c r="C250" s="8">
        <f>B250*320</f>
        <v/>
      </c>
      <c r="D250" s="9" t="inlineStr">
        <is>
          <t>น้ำท่วม</t>
        </is>
      </c>
      <c r="E250" s="3" t="n"/>
      <c r="F250" s="3" t="n"/>
      <c r="G250" s="3" t="n"/>
      <c r="H250" s="3" t="n"/>
      <c r="I250" s="3" t="n"/>
      <c r="J250" s="21">
        <f>IF(OR(B250="",H250=""),"",B250-H250)</f>
        <v/>
      </c>
      <c r="K250" s="21">
        <f>IF(OR(C250="",I250=""),"",C250-I250)</f>
        <v/>
      </c>
    </row>
    <row r="251">
      <c r="A251" s="6" t="n">
        <v>46302</v>
      </c>
      <c r="B251" s="7" t="n">
        <v>68</v>
      </c>
      <c r="C251" s="8">
        <f>B251*320</f>
        <v/>
      </c>
      <c r="D251" s="9" t="inlineStr">
        <is>
          <t>น้ำท่วม</t>
        </is>
      </c>
      <c r="E251" s="3" t="n"/>
      <c r="F251" s="3" t="n"/>
      <c r="G251" s="3" t="n"/>
      <c r="H251" s="3" t="n"/>
      <c r="I251" s="3" t="n"/>
      <c r="J251" s="21">
        <f>IF(OR(B251="",H251=""),"",B251-H251)</f>
        <v/>
      </c>
      <c r="K251" s="21">
        <f>IF(OR(C251="",I251=""),"",C251-I251)</f>
        <v/>
      </c>
    </row>
    <row r="252">
      <c r="A252" s="6" t="n">
        <v>46303</v>
      </c>
      <c r="B252" s="7" t="n">
        <v>59</v>
      </c>
      <c r="C252" s="8">
        <f>B252*320</f>
        <v/>
      </c>
      <c r="D252" s="9" t="n"/>
      <c r="E252" s="3" t="n"/>
      <c r="F252" s="3" t="n"/>
      <c r="G252" s="3" t="n"/>
      <c r="H252" s="3" t="n"/>
      <c r="I252" s="3" t="n"/>
      <c r="J252" s="21">
        <f>IF(OR(B252="",H252=""),"",B252-H252)</f>
        <v/>
      </c>
      <c r="K252" s="21">
        <f>IF(OR(C252="",I252=""),"",C252-I252)</f>
        <v/>
      </c>
    </row>
    <row r="253">
      <c r="A253" s="6" t="n">
        <v>46304</v>
      </c>
      <c r="B253" s="7" t="n">
        <v>63</v>
      </c>
      <c r="C253" s="8">
        <f>B253*320</f>
        <v/>
      </c>
      <c r="D253" s="9" t="n"/>
      <c r="E253" s="3" t="n"/>
      <c r="F253" s="3" t="n"/>
      <c r="G253" s="3" t="n"/>
      <c r="H253" s="3" t="n"/>
      <c r="I253" s="3" t="n"/>
      <c r="J253" s="21">
        <f>IF(OR(B253="",H253=""),"",B253-H253)</f>
        <v/>
      </c>
      <c r="K253" s="21">
        <f>IF(OR(C253="",I253=""),"",C253-I253)</f>
        <v/>
      </c>
    </row>
    <row r="254">
      <c r="A254" s="6" t="n">
        <v>46305</v>
      </c>
      <c r="B254" s="7" t="n">
        <v>57</v>
      </c>
      <c r="C254" s="8">
        <f>B254*320</f>
        <v/>
      </c>
      <c r="D254" s="9" t="n"/>
      <c r="E254" s="3" t="n"/>
      <c r="F254" s="3" t="n"/>
      <c r="G254" s="3" t="n"/>
      <c r="H254" s="3" t="n"/>
      <c r="I254" s="3" t="n"/>
      <c r="J254" s="21">
        <f>IF(OR(B254="",H254=""),"",B254-H254)</f>
        <v/>
      </c>
      <c r="K254" s="21">
        <f>IF(OR(C254="",I254=""),"",C254-I254)</f>
        <v/>
      </c>
    </row>
    <row r="255">
      <c r="A255" s="6" t="n">
        <v>46306</v>
      </c>
      <c r="B255" s="7" t="n">
        <v>37</v>
      </c>
      <c r="C255" s="8">
        <f>B255*320</f>
        <v/>
      </c>
      <c r="D255" s="9" t="inlineStr">
        <is>
          <t>วันอาทิตย์</t>
        </is>
      </c>
      <c r="E255" s="3" t="n"/>
      <c r="F255" s="3" t="n"/>
      <c r="G255" s="3" t="n"/>
      <c r="H255" s="3" t="n"/>
      <c r="I255" s="3" t="n"/>
      <c r="J255" s="21">
        <f>IF(OR(B255="",H255=""),"",B255-H255)</f>
        <v/>
      </c>
      <c r="K255" s="21">
        <f>IF(OR(C255="",I255=""),"",C255-I255)</f>
        <v/>
      </c>
    </row>
    <row r="256">
      <c r="A256" s="6" t="n">
        <v>46307</v>
      </c>
      <c r="B256" s="7" t="n">
        <v>55</v>
      </c>
      <c r="C256" s="8">
        <f>B256*320</f>
        <v/>
      </c>
      <c r="D256" s="9" t="n"/>
      <c r="E256" s="3" t="n"/>
      <c r="F256" s="3" t="n"/>
      <c r="G256" s="3" t="n"/>
      <c r="H256" s="3" t="n"/>
      <c r="I256" s="3" t="n"/>
      <c r="J256" s="21">
        <f>IF(OR(B256="",H256=""),"",B256-H256)</f>
        <v/>
      </c>
      <c r="K256" s="21">
        <f>IF(OR(C256="",I256=""),"",C256-I256)</f>
        <v/>
      </c>
    </row>
    <row r="257">
      <c r="A257" s="6" t="n">
        <v>46308</v>
      </c>
      <c r="B257" s="7" t="n">
        <v>64</v>
      </c>
      <c r="C257" s="8">
        <f>B257*320</f>
        <v/>
      </c>
      <c r="D257" s="9" t="n"/>
      <c r="E257" s="3" t="n"/>
      <c r="F257" s="3" t="n"/>
      <c r="G257" s="3" t="n"/>
      <c r="H257" s="3" t="n"/>
      <c r="I257" s="3" t="n"/>
      <c r="J257" s="21">
        <f>IF(OR(B257="",H257=""),"",B257-H257)</f>
        <v/>
      </c>
      <c r="K257" s="21">
        <f>IF(OR(C257="",I257=""),"",C257-I257)</f>
        <v/>
      </c>
    </row>
    <row r="258">
      <c r="A258" s="6" t="n">
        <v>46309</v>
      </c>
      <c r="B258" s="7" t="n">
        <v>56</v>
      </c>
      <c r="C258" s="8">
        <f>B258*320</f>
        <v/>
      </c>
      <c r="D258" s="9" t="n"/>
      <c r="E258" s="3" t="n"/>
      <c r="F258" s="3" t="n"/>
      <c r="G258" s="3" t="n"/>
      <c r="H258" s="3" t="n"/>
      <c r="I258" s="3" t="n"/>
      <c r="J258" s="21">
        <f>IF(OR(B258="",H258=""),"",B258-H258)</f>
        <v/>
      </c>
      <c r="K258" s="21">
        <f>IF(OR(C258="",I258=""),"",C258-I258)</f>
        <v/>
      </c>
    </row>
    <row r="259">
      <c r="A259" s="6" t="n">
        <v>46310</v>
      </c>
      <c r="B259" s="7" t="n">
        <v>60</v>
      </c>
      <c r="C259" s="8">
        <f>B259*320</f>
        <v/>
      </c>
      <c r="D259" s="9" t="n"/>
      <c r="E259" s="3" t="n"/>
      <c r="F259" s="3" t="n"/>
      <c r="G259" s="3" t="n"/>
      <c r="H259" s="3" t="n"/>
      <c r="I259" s="3" t="n"/>
      <c r="J259" s="21">
        <f>IF(OR(B259="",H259=""),"",B259-H259)</f>
        <v/>
      </c>
      <c r="K259" s="21">
        <f>IF(OR(C259="",I259=""),"",C259-I259)</f>
        <v/>
      </c>
    </row>
    <row r="260">
      <c r="A260" s="6" t="n">
        <v>46311</v>
      </c>
      <c r="B260" s="7" t="n">
        <v>61</v>
      </c>
      <c r="C260" s="8">
        <f>B260*320</f>
        <v/>
      </c>
      <c r="D260" s="9" t="n"/>
      <c r="E260" s="3" t="n"/>
      <c r="F260" s="3" t="n"/>
      <c r="G260" s="3" t="n"/>
      <c r="H260" s="3" t="n"/>
      <c r="I260" s="3" t="n"/>
      <c r="J260" s="21">
        <f>IF(OR(B260="",H260=""),"",B260-H260)</f>
        <v/>
      </c>
      <c r="K260" s="21">
        <f>IF(OR(C260="",I260=""),"",C260-I260)</f>
        <v/>
      </c>
    </row>
    <row r="261">
      <c r="A261" s="6" t="n">
        <v>46312</v>
      </c>
      <c r="B261" s="7" t="n">
        <v>51</v>
      </c>
      <c r="C261" s="8">
        <f>B261*320</f>
        <v/>
      </c>
      <c r="D261" s="9" t="n"/>
      <c r="E261" s="3" t="n"/>
      <c r="F261" s="3" t="n"/>
      <c r="G261" s="3" t="n"/>
      <c r="H261" s="3" t="n"/>
      <c r="I261" s="3" t="n"/>
      <c r="J261" s="21">
        <f>IF(OR(B261="",H261=""),"",B261-H261)</f>
        <v/>
      </c>
      <c r="K261" s="21">
        <f>IF(OR(C261="",I261=""),"",C261-I261)</f>
        <v/>
      </c>
    </row>
    <row r="262">
      <c r="A262" s="6" t="n">
        <v>46313</v>
      </c>
      <c r="B262" s="7" t="n">
        <v>27</v>
      </c>
      <c r="C262" s="8">
        <f>B262*320</f>
        <v/>
      </c>
      <c r="D262" s="9" t="inlineStr">
        <is>
          <t>วันอาทิตย์</t>
        </is>
      </c>
      <c r="E262" s="3" t="n"/>
      <c r="F262" s="3" t="n"/>
      <c r="G262" s="3" t="n"/>
      <c r="H262" s="3" t="n"/>
      <c r="I262" s="3" t="n"/>
      <c r="J262" s="21">
        <f>IF(OR(B262="",H262=""),"",B262-H262)</f>
        <v/>
      </c>
      <c r="K262" s="21">
        <f>IF(OR(C262="",I262=""),"",C262-I262)</f>
        <v/>
      </c>
    </row>
    <row r="263">
      <c r="A263" s="6" t="n">
        <v>46314</v>
      </c>
      <c r="B263" s="7" t="n">
        <v>56</v>
      </c>
      <c r="C263" s="8">
        <f>B263*320</f>
        <v/>
      </c>
      <c r="D263" s="9" t="n"/>
      <c r="E263" s="3" t="n"/>
      <c r="F263" s="3" t="inlineStr">
        <is>
          <t xml:space="preserve"> </t>
        </is>
      </c>
      <c r="G263" s="3" t="n"/>
      <c r="H263" s="3" t="n"/>
      <c r="I263" s="3" t="n"/>
      <c r="J263" s="21">
        <f>IF(OR(B263="",H263=""),"",B263-H263)</f>
        <v/>
      </c>
      <c r="K263" s="21">
        <f>IF(OR(C263="",I263=""),"",C263-I263)</f>
        <v/>
      </c>
    </row>
    <row r="264">
      <c r="A264" s="6" t="n">
        <v>46315</v>
      </c>
      <c r="B264" s="7" t="n">
        <v>60</v>
      </c>
      <c r="C264" s="8">
        <f>B264*320</f>
        <v/>
      </c>
      <c r="D264" s="9" t="n"/>
      <c r="E264" s="3" t="n"/>
      <c r="F264" s="3" t="n"/>
      <c r="G264" s="3" t="n"/>
      <c r="H264" s="3" t="n"/>
      <c r="I264" s="3" t="n"/>
      <c r="J264" s="21">
        <f>IF(OR(B264="",H264=""),"",B264-H264)</f>
        <v/>
      </c>
      <c r="K264" s="21">
        <f>IF(OR(C264="",I264=""),"",C264-I264)</f>
        <v/>
      </c>
    </row>
    <row r="265">
      <c r="A265" s="6" t="n">
        <v>46316</v>
      </c>
      <c r="B265" s="7" t="n">
        <v>64</v>
      </c>
      <c r="C265" s="8">
        <f>B265*320</f>
        <v/>
      </c>
      <c r="D265" s="9" t="inlineStr">
        <is>
          <t>เริ่มใช้ระบบออนไลน์</t>
        </is>
      </c>
      <c r="E265" s="3" t="n"/>
      <c r="F265" s="3" t="n"/>
      <c r="G265" s="3" t="n"/>
      <c r="H265" s="3" t="n"/>
      <c r="I265" s="3" t="n"/>
      <c r="J265" s="21">
        <f>IF(OR(B265="",H265=""),"",B265-H265)</f>
        <v/>
      </c>
      <c r="K265" s="21">
        <f>IF(OR(C265="",I265=""),"",C265-I265)</f>
        <v/>
      </c>
    </row>
    <row r="266">
      <c r="A266" s="6" t="n">
        <v>46317</v>
      </c>
      <c r="B266" s="7" t="n">
        <v>58</v>
      </c>
      <c r="C266" s="8">
        <f>B266*320</f>
        <v/>
      </c>
      <c r="D266" s="9" t="inlineStr">
        <is>
          <t>หลังประชุมผู้กรอก</t>
        </is>
      </c>
      <c r="E266" s="3" t="n">
        <v>2071</v>
      </c>
      <c r="F266" s="3" t="n">
        <v>2027</v>
      </c>
      <c r="G266" s="3" t="n">
        <v>32</v>
      </c>
      <c r="H266" s="3" t="n">
        <v>55</v>
      </c>
      <c r="I266" s="3" t="n">
        <v>17600</v>
      </c>
      <c r="J266" s="21">
        <f>IF(OR(B266="",H266=""),"",B266-H266)</f>
        <v/>
      </c>
      <c r="K266" s="21">
        <f>IF(OR(C266="",I266=""),"",C266-I266)</f>
        <v/>
      </c>
    </row>
    <row r="267">
      <c r="A267" s="6" t="n">
        <v>46318</v>
      </c>
      <c r="B267" s="7" t="n">
        <v>54</v>
      </c>
      <c r="C267" s="8">
        <f>B267*320</f>
        <v/>
      </c>
      <c r="D267" s="9" t="n"/>
      <c r="E267" s="3" t="n">
        <v>1935</v>
      </c>
      <c r="F267" s="3" t="n">
        <v>1919</v>
      </c>
      <c r="G267" s="3" t="n">
        <v>35</v>
      </c>
      <c r="H267" s="3" t="n">
        <v>50</v>
      </c>
      <c r="I267" s="3" t="n">
        <v>16000</v>
      </c>
      <c r="J267" s="21">
        <f>IF(OR(B267="",H267=""),"",B267-H267)</f>
        <v/>
      </c>
      <c r="K267" s="21">
        <f>IF(OR(C267="",I267=""),"",C267-I267)</f>
        <v/>
      </c>
    </row>
    <row r="268">
      <c r="A268" s="6" t="n">
        <v>46319</v>
      </c>
      <c r="B268" s="7" t="n">
        <v>47</v>
      </c>
      <c r="C268" s="8">
        <f>B268*320</f>
        <v/>
      </c>
      <c r="D268" s="9" t="n"/>
      <c r="E268" s="3" t="n">
        <v>2053</v>
      </c>
      <c r="F268" s="3" t="n">
        <v>1856</v>
      </c>
      <c r="G268" s="3" t="n">
        <v>38</v>
      </c>
      <c r="H268" s="3" t="n">
        <v>46</v>
      </c>
      <c r="I268" s="3" t="n">
        <v>14720</v>
      </c>
      <c r="J268" s="21">
        <f>IF(OR(B268="",H268=""),"",B268-H268)</f>
        <v/>
      </c>
      <c r="K268" s="21">
        <f>IF(OR(C268="",I268=""),"",C268-I268)</f>
        <v/>
      </c>
    </row>
    <row r="269">
      <c r="A269" s="6" t="n">
        <v>46320</v>
      </c>
      <c r="B269" s="7" t="n">
        <v>11</v>
      </c>
      <c r="C269" s="8">
        <f>B269*320</f>
        <v/>
      </c>
      <c r="D269" s="9" t="inlineStr">
        <is>
          <t>วันอาทิตย์</t>
        </is>
      </c>
      <c r="E269" s="3" t="n">
        <v>127</v>
      </c>
      <c r="F269" s="3" t="n">
        <v>926</v>
      </c>
      <c r="G269" s="3" t="n">
        <v>23</v>
      </c>
      <c r="H269" s="3" t="n">
        <v>11</v>
      </c>
      <c r="I269" s="3" t="n">
        <v>3520</v>
      </c>
      <c r="J269" s="21">
        <f>IF(OR(B269="",H269=""),"",B269-H269)</f>
        <v/>
      </c>
      <c r="K269" s="21">
        <f>IF(OR(C269="",I269=""),"",C269-I269)</f>
        <v/>
      </c>
    </row>
    <row r="270">
      <c r="A270" s="6" t="n">
        <v>46321</v>
      </c>
      <c r="B270" s="7" t="n">
        <v>52</v>
      </c>
      <c r="C270" s="8">
        <f>B270*320</f>
        <v/>
      </c>
      <c r="D270" s="9" t="inlineStr">
        <is>
          <t>เพิ่มรอบรับ - ส่ง พนักงานใหม่ 2 เที่ยว</t>
        </is>
      </c>
      <c r="E270" s="3" t="n">
        <v>2143</v>
      </c>
      <c r="F270" s="3" t="n">
        <v>1210</v>
      </c>
      <c r="G270" s="3" t="n">
        <v>20</v>
      </c>
      <c r="H270" s="3" t="n">
        <v>50</v>
      </c>
      <c r="I270" s="3" t="n">
        <v>16000</v>
      </c>
      <c r="J270" s="21">
        <f>IF(OR(B270="",H270=""),"",B270-H270)</f>
        <v/>
      </c>
      <c r="K270" s="21">
        <f>IF(OR(C270="",I270=""),"",C270-I270)</f>
        <v/>
      </c>
    </row>
    <row r="271">
      <c r="A271" s="6" t="n">
        <v>46322</v>
      </c>
      <c r="B271" s="7" t="n">
        <v>53</v>
      </c>
      <c r="C271" s="8">
        <f>B271*320</f>
        <v/>
      </c>
      <c r="D271" s="9" t="n"/>
      <c r="E271" s="3" t="n">
        <v>2232</v>
      </c>
      <c r="F271" s="3" t="n">
        <v>2148</v>
      </c>
      <c r="G271" s="3" t="n">
        <v>40</v>
      </c>
      <c r="H271" s="3" t="n">
        <v>50</v>
      </c>
      <c r="I271" s="3" t="n">
        <v>16000</v>
      </c>
      <c r="J271" s="21">
        <f>IF(OR(B271="",H271=""),"",B271-H271)</f>
        <v/>
      </c>
      <c r="K271" s="21">
        <f>IF(OR(C271="",I271=""),"",C271-I271)</f>
        <v/>
      </c>
    </row>
    <row r="272">
      <c r="A272" s="6" t="n">
        <v>46323</v>
      </c>
      <c r="B272" s="7" t="n">
        <v>54</v>
      </c>
      <c r="C272" s="8">
        <f>B272*320</f>
        <v/>
      </c>
      <c r="D272" s="9" t="n"/>
      <c r="E272" s="3" t="n">
        <v>2212</v>
      </c>
      <c r="F272" s="3" t="n">
        <v>2238</v>
      </c>
      <c r="G272" s="3" t="n">
        <v>40</v>
      </c>
      <c r="H272" s="3" t="n">
        <v>54</v>
      </c>
      <c r="I272" s="3" t="n">
        <v>17280</v>
      </c>
      <c r="J272" s="21">
        <f>IF(OR(B272="",H272=""),"",B272-H272)</f>
        <v/>
      </c>
      <c r="K272" s="21">
        <f>IF(OR(C272="",I272=""),"",C272-I272)</f>
        <v/>
      </c>
    </row>
    <row r="273">
      <c r="A273" s="6" t="n">
        <v>46324</v>
      </c>
      <c r="B273" s="7" t="n">
        <v>47</v>
      </c>
      <c r="C273" s="8">
        <f>B273*320</f>
        <v/>
      </c>
      <c r="D273" s="9" t="n"/>
      <c r="E273" s="3" t="n">
        <v>2252</v>
      </c>
      <c r="F273" s="3" t="n">
        <v>2213</v>
      </c>
      <c r="G273" s="3" t="n">
        <v>40</v>
      </c>
      <c r="H273" s="3" t="n">
        <v>47</v>
      </c>
      <c r="I273" s="3" t="n">
        <v>15040</v>
      </c>
      <c r="J273" s="21">
        <f>IF(OR(B273="",H273=""),"",B273-H273)</f>
        <v/>
      </c>
      <c r="K273" s="21">
        <f>IF(OR(C273="",I273=""),"",C273-I273)</f>
        <v/>
      </c>
    </row>
    <row r="274">
      <c r="A274" s="6" t="n">
        <v>46325</v>
      </c>
      <c r="B274" s="7" t="n"/>
      <c r="C274" s="8">
        <f>B274*320</f>
        <v/>
      </c>
      <c r="D274" s="9" t="n"/>
      <c r="E274" s="3" t="n">
        <v>2375</v>
      </c>
      <c r="F274" s="3" t="n">
        <v>995</v>
      </c>
      <c r="G274" s="3" t="n">
        <v>29</v>
      </c>
      <c r="H274" s="3" t="n">
        <v>39</v>
      </c>
      <c r="I274" s="3" t="n">
        <v>12480</v>
      </c>
      <c r="J274" s="21">
        <f>IF(OR(B274="",H274=""),"",B274-H274)</f>
        <v/>
      </c>
      <c r="K274" s="21">
        <f>IF(OR(C274="",I274=""),"",C274-I274)</f>
        <v/>
      </c>
    </row>
    <row r="275">
      <c r="A275" s="6" t="n">
        <v>46326</v>
      </c>
      <c r="B275" s="7" t="n"/>
      <c r="C275" s="8">
        <f>B275*320</f>
        <v/>
      </c>
      <c r="D275" s="9" t="n"/>
      <c r="E275" s="3" t="n"/>
      <c r="F275" s="3" t="n"/>
      <c r="G275" s="3" t="n"/>
      <c r="H275" s="3" t="n"/>
      <c r="I275" s="3" t="n"/>
      <c r="J275" s="21">
        <f>IF(OR(B275="",H275=""),"",B275-H275)</f>
        <v/>
      </c>
      <c r="K275" s="21">
        <f>IF(OR(C275="",I275=""),"",C275-I275)</f>
        <v/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27" t="inlineStr">
        <is>
          <t>เดือน</t>
        </is>
      </c>
      <c r="B1" s="27" t="inlineStr">
        <is>
          <t>งบประมาณค่าขนส่ง (บาท)</t>
        </is>
      </c>
    </row>
    <row r="2">
      <c r="A2" s="28" t="n">
        <v>46023</v>
      </c>
      <c r="B2" s="29" t="n">
        <v>556000</v>
      </c>
    </row>
    <row r="3">
      <c r="A3" s="28" t="n">
        <v>46054</v>
      </c>
      <c r="B3" s="29" t="n">
        <v>556000</v>
      </c>
    </row>
    <row r="4">
      <c r="A4" s="28" t="n">
        <v>46082</v>
      </c>
      <c r="B4" s="29" t="n">
        <v>556000</v>
      </c>
    </row>
    <row r="5">
      <c r="A5" s="28" t="n">
        <v>46113</v>
      </c>
      <c r="B5" s="29" t="n">
        <v>556000</v>
      </c>
    </row>
    <row r="6">
      <c r="A6" s="28" t="n">
        <v>46143</v>
      </c>
      <c r="B6" s="29" t="n">
        <v>556000</v>
      </c>
    </row>
    <row r="7">
      <c r="A7" s="28" t="n">
        <v>46174</v>
      </c>
      <c r="B7" s="29" t="n">
        <v>556000</v>
      </c>
    </row>
    <row r="8">
      <c r="A8" s="28" t="n">
        <v>46204</v>
      </c>
      <c r="B8" s="29" t="n">
        <v>556000</v>
      </c>
    </row>
    <row r="9">
      <c r="A9" s="28" t="n">
        <v>46235</v>
      </c>
      <c r="B9" s="29" t="n">
        <v>556000</v>
      </c>
    </row>
    <row r="10">
      <c r="A10" s="28" t="n">
        <v>46266</v>
      </c>
      <c r="B10" s="29" t="n">
        <v>556000</v>
      </c>
    </row>
    <row r="11">
      <c r="A11" s="28" t="n">
        <v>46296</v>
      </c>
      <c r="B11" s="29" t="n">
        <v>556000</v>
      </c>
    </row>
    <row r="12">
      <c r="A12" s="28" t="n">
        <v>46327</v>
      </c>
      <c r="B12" s="29" t="n">
        <v>556000</v>
      </c>
    </row>
    <row r="13">
      <c r="A13" s="28" t="n">
        <v>46357</v>
      </c>
      <c r="B13" s="29" t="n">
        <v>556000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Pattarawarin Arunsawat</dc:creator>
  <dcterms:created xmlns:dcterms="http://purl.org/dc/terms/" xmlns:xsi="http://www.w3.org/2001/XMLSchema-instance" xsi:type="dcterms:W3CDTF">2026-10-30T01:43:07Z</dcterms:created>
  <dcterms:modified xmlns:dcterms="http://purl.org/dc/terms/" xmlns:xsi="http://www.w3.org/2001/XMLSchema-instance" xsi:type="dcterms:W3CDTF">2026-10-30T03:19:03Z</dcterms:modified>
  <cp:lastModifiedBy>Pattarawarin Arunsawat</cp:lastModifiedBy>
</cp:coreProperties>
</file>